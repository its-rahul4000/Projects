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FC28953F-24A5-4B40-98E7-37F22A07899D}" xr6:coauthVersionLast="47" xr6:coauthVersionMax="47" xr10:uidLastSave="{00000000-0000-0000-0000-000000000000}"/>
  <bookViews>
    <workbookView xWindow="-108" yWindow="-108" windowWidth="23256" windowHeight="12456" xr2:uid="{6D55708D-77D8-48EE-A0E5-36F80CCE4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2" i="1"/>
  <c r="D117" i="1"/>
  <c r="D118" i="1"/>
  <c r="D119" i="1"/>
  <c r="D120" i="1"/>
  <c r="C120" i="1"/>
  <c r="C119" i="1"/>
  <c r="C118" i="1"/>
  <c r="C117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D96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7" i="1"/>
  <c r="D98" i="1"/>
  <c r="D99" i="1"/>
  <c r="D100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A90" i="1"/>
  <c r="A91" i="1"/>
  <c r="A92" i="1" s="1"/>
  <c r="A93" i="1" s="1"/>
  <c r="A94" i="1" s="1"/>
  <c r="A95" i="1" s="1"/>
  <c r="A96" i="1" s="1"/>
  <c r="A97" i="1" s="1"/>
  <c r="A98" i="1" s="1"/>
  <c r="A99" i="1" s="1"/>
  <c r="A100" i="1" s="1"/>
  <c r="D74" i="1"/>
  <c r="D75" i="1"/>
  <c r="D76" i="1"/>
  <c r="D77" i="1"/>
  <c r="D78" i="1"/>
  <c r="C74" i="1"/>
  <c r="C75" i="1"/>
  <c r="C76" i="1"/>
  <c r="C77" i="1"/>
  <c r="C78" i="1"/>
  <c r="D12" i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D73" i="1"/>
  <c r="C73" i="1"/>
  <c r="D61" i="1"/>
  <c r="D62" i="1"/>
  <c r="D63" i="1"/>
  <c r="D64" i="1"/>
  <c r="D65" i="1"/>
  <c r="D66" i="1"/>
  <c r="D67" i="1"/>
  <c r="D68" i="1"/>
  <c r="D69" i="1"/>
  <c r="D70" i="1"/>
  <c r="D71" i="1"/>
  <c r="D72" i="1"/>
  <c r="C61" i="1"/>
  <c r="C62" i="1"/>
  <c r="C63" i="1"/>
  <c r="C64" i="1"/>
  <c r="C65" i="1"/>
  <c r="C66" i="1"/>
  <c r="C67" i="1"/>
  <c r="C68" i="1"/>
  <c r="C69" i="1"/>
  <c r="C70" i="1"/>
  <c r="C71" i="1"/>
  <c r="C72" i="1"/>
  <c r="D58" i="1"/>
  <c r="C58" i="1"/>
  <c r="D57" i="1"/>
  <c r="D52" i="1"/>
  <c r="D53" i="1"/>
  <c r="D54" i="1"/>
  <c r="D55" i="1"/>
  <c r="D56" i="1"/>
  <c r="D59" i="1"/>
  <c r="D60" i="1"/>
  <c r="C60" i="1"/>
  <c r="C59" i="1"/>
  <c r="C57" i="1"/>
  <c r="C56" i="1"/>
  <c r="C55" i="1"/>
  <c r="C54" i="1"/>
  <c r="C53" i="1"/>
  <c r="C52" i="1"/>
  <c r="D25" i="1"/>
  <c r="D3" i="1"/>
  <c r="D2" i="1"/>
  <c r="D51" i="1"/>
  <c r="C51" i="1"/>
  <c r="D50" i="1"/>
  <c r="D47" i="1"/>
  <c r="D48" i="1"/>
  <c r="D49" i="1"/>
  <c r="D24" i="1"/>
  <c r="C41" i="1"/>
  <c r="D26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D4" i="1"/>
  <c r="D22" i="1"/>
  <c r="D5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3" i="1"/>
  <c r="C2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3" i="1"/>
  <c r="C24" i="1"/>
  <c r="C25" i="1"/>
  <c r="C26" i="1" l="1"/>
  <c r="D27" i="1"/>
  <c r="C27" i="1" l="1"/>
  <c r="D28" i="1" l="1"/>
  <c r="C28" i="1"/>
  <c r="C29" i="1" l="1"/>
  <c r="D29" i="1"/>
  <c r="C30" i="1" l="1"/>
  <c r="D30" i="1"/>
  <c r="D31" i="1" l="1"/>
  <c r="C31" i="1"/>
  <c r="C32" i="1" l="1"/>
  <c r="D32" i="1"/>
  <c r="D33" i="1" l="1"/>
  <c r="C33" i="1"/>
  <c r="D34" i="1" l="1"/>
  <c r="C34" i="1"/>
  <c r="D35" i="1" l="1"/>
  <c r="C35" i="1"/>
  <c r="D36" i="1" l="1"/>
  <c r="C36" i="1"/>
  <c r="D37" i="1" l="1"/>
  <c r="C37" i="1"/>
  <c r="D38" i="1" l="1"/>
  <c r="C38" i="1"/>
  <c r="D39" i="1" l="1"/>
  <c r="C39" i="1"/>
  <c r="D40" i="1" l="1"/>
  <c r="C40" i="1"/>
  <c r="D41" i="1" l="1"/>
  <c r="D42" i="1" l="1"/>
  <c r="C42" i="1"/>
  <c r="D43" i="1" l="1"/>
  <c r="C43" i="1"/>
  <c r="C44" i="1" l="1"/>
  <c r="D44" i="1"/>
  <c r="C45" i="1" l="1"/>
  <c r="D45" i="1"/>
  <c r="D46" i="1" l="1"/>
  <c r="C46" i="1"/>
  <c r="C47" i="1" l="1"/>
  <c r="C48" i="1" l="1"/>
  <c r="C49" i="1" l="1"/>
  <c r="C50" i="1" l="1"/>
</calcChain>
</file>

<file path=xl/sharedStrings.xml><?xml version="1.0" encoding="utf-8"?>
<sst xmlns="http://schemas.openxmlformats.org/spreadsheetml/2006/main" count="7" uniqueCount="7">
  <si>
    <t>Hours</t>
  </si>
  <si>
    <t>Maturity Index(Cummulative) C per hour</t>
  </si>
  <si>
    <t>Avg Temp( C ) per Hour</t>
  </si>
  <si>
    <t>Ln(M)  (MPa)</t>
  </si>
  <si>
    <t>Compressive Strength(Mpa)= a+b*lnM</t>
  </si>
  <si>
    <t>b= 7.5003623429727515</t>
  </si>
  <si>
    <t>a= -35.492611531158715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</si>
</sst>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1280160</xdr:colOff>
      <xdr:row>10</xdr:row>
      <xdr:rowOff>34290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B6129-AAEC-797F-D45C-1758EEEEEB80}"/>
            </a:ext>
          </a:extLst>
        </xdr:cNvPr>
        <xdr:cNvSpPr txBox="1"/>
      </xdr:nvSpPr>
      <xdr:spPr>
        <a:xfrm>
          <a:off x="6629400" y="1946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1280160</xdr:colOff>
      <xdr:row>10</xdr:row>
      <xdr:rowOff>34290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2845F3-3782-03DC-209C-E8B4ABCB747A}"/>
            </a:ext>
          </a:extLst>
        </xdr:cNvPr>
        <xdr:cNvSpPr txBox="1"/>
      </xdr:nvSpPr>
      <xdr:spPr>
        <a:xfrm>
          <a:off x="6629400" y="1946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8</xdr:col>
      <xdr:colOff>0</xdr:colOff>
      <xdr:row>51</xdr:row>
      <xdr:rowOff>52192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8843FA-D1E2-4C3F-3BF0-0A2E2937443B}"/>
            </a:ext>
          </a:extLst>
        </xdr:cNvPr>
        <xdr:cNvSpPr txBox="1"/>
      </xdr:nvSpPr>
      <xdr:spPr>
        <a:xfrm>
          <a:off x="19237890" y="97181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1967-0860-4E82-A2ED-63B53812FB07}">
  <dimension ref="A1:K124"/>
  <sheetViews>
    <sheetView tabSelected="1" topLeftCell="C1" zoomScale="83" zoomScaleNormal="164" workbookViewId="0">
      <selection activeCell="F16" sqref="F16"/>
    </sheetView>
  </sheetViews>
  <sheetFormatPr defaultRowHeight="14.4" x14ac:dyDescent="0.3"/>
  <cols>
    <col min="1" max="1" width="26.6640625" customWidth="1"/>
    <col min="2" max="2" width="57.109375" customWidth="1"/>
    <col min="3" max="3" width="47.88671875" customWidth="1"/>
    <col min="4" max="4" width="50" customWidth="1"/>
    <col min="5" max="5" width="53.5546875" customWidth="1"/>
    <col min="6" max="6" width="27.5546875" customWidth="1"/>
  </cols>
  <sheetData>
    <row r="1" spans="1:8" ht="21" x14ac:dyDescent="0.4">
      <c r="A1" s="4" t="s">
        <v>0</v>
      </c>
      <c r="B1" s="3" t="s">
        <v>1</v>
      </c>
      <c r="C1" s="2" t="s">
        <v>3</v>
      </c>
      <c r="D1" s="5" t="s">
        <v>2</v>
      </c>
      <c r="E1" s="6" t="s">
        <v>4</v>
      </c>
    </row>
    <row r="2" spans="1:8" x14ac:dyDescent="0.3">
      <c r="A2" s="1">
        <v>1</v>
      </c>
      <c r="B2" s="1">
        <v>42.844999999999999</v>
      </c>
      <c r="C2" s="1">
        <f>ROUND(LN(B2),4)</f>
        <v>3.7576000000000001</v>
      </c>
      <c r="D2" s="1">
        <f>ROUND((B2-10),4)</f>
        <v>32.844999999999999</v>
      </c>
      <c r="E2" s="1">
        <f xml:space="preserve"> ROUND((-35.4926115311587+(7.50036234297275*C2)),4)</f>
        <v>-7.3091999999999997</v>
      </c>
      <c r="F2" s="1"/>
      <c r="H2" s="1"/>
    </row>
    <row r="3" spans="1:8" x14ac:dyDescent="0.3">
      <c r="A3" s="1">
        <v>2</v>
      </c>
      <c r="B3" s="1">
        <v>85.762299999999996</v>
      </c>
      <c r="C3" s="1">
        <f t="shared" ref="C3:C50" si="0">ROUND(LN(B3),4)</f>
        <v>4.4516</v>
      </c>
      <c r="D3" s="1">
        <f t="shared" ref="D3:D34" si="1">ROUND((B3-B2-10),4)</f>
        <v>32.917299999999997</v>
      </c>
      <c r="E3" s="1">
        <f t="shared" ref="E3:E66" si="2" xml:space="preserve"> ROUND((-35.4926115311587+(7.50036234297275*C3)),4)</f>
        <v>-2.1040000000000001</v>
      </c>
      <c r="F3" s="1"/>
      <c r="H3" s="1"/>
    </row>
    <row r="4" spans="1:8" x14ac:dyDescent="0.3">
      <c r="A4" s="1">
        <v>3</v>
      </c>
      <c r="B4" s="1">
        <v>128.821</v>
      </c>
      <c r="C4" s="1">
        <f t="shared" si="0"/>
        <v>4.8583999999999996</v>
      </c>
      <c r="D4" s="1">
        <f t="shared" si="1"/>
        <v>33.058700000000002</v>
      </c>
      <c r="E4" s="1">
        <f t="shared" si="2"/>
        <v>0.94710000000000005</v>
      </c>
      <c r="F4" s="1"/>
      <c r="H4" s="1"/>
    </row>
    <row r="5" spans="1:8" x14ac:dyDescent="0.3">
      <c r="A5" s="1">
        <v>4</v>
      </c>
      <c r="B5" s="1">
        <v>171.73249999999999</v>
      </c>
      <c r="C5" s="1">
        <f t="shared" si="0"/>
        <v>5.1459000000000001</v>
      </c>
      <c r="D5" s="1">
        <f t="shared" si="1"/>
        <v>32.911499999999997</v>
      </c>
      <c r="E5" s="1">
        <f t="shared" si="2"/>
        <v>3.1034999999999999</v>
      </c>
      <c r="F5" s="1"/>
      <c r="H5" s="1"/>
    </row>
    <row r="6" spans="1:8" x14ac:dyDescent="0.3">
      <c r="A6" s="1">
        <v>5</v>
      </c>
      <c r="B6" s="1">
        <v>214.74539999999999</v>
      </c>
      <c r="C6" s="1">
        <f t="shared" si="0"/>
        <v>5.3695000000000004</v>
      </c>
      <c r="D6" s="1">
        <f t="shared" si="1"/>
        <v>33.012900000000002</v>
      </c>
      <c r="E6" s="1">
        <f t="shared" si="2"/>
        <v>4.7805999999999997</v>
      </c>
      <c r="F6" s="1"/>
      <c r="H6" s="1"/>
    </row>
    <row r="7" spans="1:8" x14ac:dyDescent="0.3">
      <c r="A7" s="1">
        <v>6</v>
      </c>
      <c r="B7" s="1">
        <v>257.81200000000001</v>
      </c>
      <c r="C7" s="1">
        <f t="shared" si="0"/>
        <v>5.5522</v>
      </c>
      <c r="D7" s="1">
        <f t="shared" si="1"/>
        <v>33.066600000000001</v>
      </c>
      <c r="E7" s="1">
        <f t="shared" si="2"/>
        <v>6.1509</v>
      </c>
      <c r="F7" s="1"/>
      <c r="H7" s="1"/>
    </row>
    <row r="8" spans="1:8" x14ac:dyDescent="0.3">
      <c r="A8" s="1">
        <v>7</v>
      </c>
      <c r="B8" s="1">
        <v>298.1123</v>
      </c>
      <c r="C8" s="1">
        <f t="shared" si="0"/>
        <v>5.6974999999999998</v>
      </c>
      <c r="D8" s="1">
        <f t="shared" si="1"/>
        <v>30.3003</v>
      </c>
      <c r="E8" s="1">
        <f t="shared" si="2"/>
        <v>7.2407000000000004</v>
      </c>
      <c r="F8" s="7" t="s">
        <v>6</v>
      </c>
      <c r="H8" s="1"/>
    </row>
    <row r="9" spans="1:8" x14ac:dyDescent="0.3">
      <c r="A9" s="1">
        <v>8</v>
      </c>
      <c r="B9" s="1">
        <v>338.52350000000001</v>
      </c>
      <c r="C9" s="1">
        <f t="shared" si="0"/>
        <v>5.8246000000000002</v>
      </c>
      <c r="D9" s="1">
        <f t="shared" si="1"/>
        <v>30.411200000000001</v>
      </c>
      <c r="E9" s="1">
        <f t="shared" si="2"/>
        <v>8.1940000000000008</v>
      </c>
      <c r="F9" s="7" t="s">
        <v>5</v>
      </c>
      <c r="H9" s="1"/>
    </row>
    <row r="10" spans="1:8" x14ac:dyDescent="0.3">
      <c r="A10" s="1">
        <v>9</v>
      </c>
      <c r="B10" s="1">
        <v>379.012</v>
      </c>
      <c r="C10" s="1">
        <f t="shared" si="0"/>
        <v>5.9375999999999998</v>
      </c>
      <c r="D10" s="1">
        <f t="shared" si="1"/>
        <v>30.488499999999998</v>
      </c>
      <c r="E10" s="1">
        <f t="shared" si="2"/>
        <v>9.0414999999999992</v>
      </c>
      <c r="F10" s="1"/>
      <c r="H10" s="1"/>
    </row>
    <row r="11" spans="1:8" x14ac:dyDescent="0.3">
      <c r="A11" s="1">
        <v>10</v>
      </c>
      <c r="B11" s="1">
        <v>419.39870000000002</v>
      </c>
      <c r="C11" s="1">
        <f t="shared" si="0"/>
        <v>6.0388000000000002</v>
      </c>
      <c r="D11" s="1">
        <f t="shared" si="1"/>
        <v>30.386700000000001</v>
      </c>
      <c r="E11" s="1">
        <f t="shared" si="2"/>
        <v>9.8005999999999993</v>
      </c>
      <c r="F11" s="1"/>
      <c r="H11" s="1"/>
    </row>
    <row r="12" spans="1:8" x14ac:dyDescent="0.3">
      <c r="A12" s="1">
        <v>11</v>
      </c>
      <c r="B12" s="1">
        <v>459.80149999999998</v>
      </c>
      <c r="C12" s="1">
        <f t="shared" si="0"/>
        <v>6.1307999999999998</v>
      </c>
      <c r="D12" s="1">
        <f>ROUND((B12-B11-10),4)</f>
        <v>30.402799999999999</v>
      </c>
      <c r="E12" s="1">
        <f t="shared" si="2"/>
        <v>10.490600000000001</v>
      </c>
      <c r="F12" s="1"/>
      <c r="H12" s="1"/>
    </row>
    <row r="13" spans="1:8" x14ac:dyDescent="0.3">
      <c r="A13" s="1">
        <v>12</v>
      </c>
      <c r="B13" s="1">
        <v>500.24520000000001</v>
      </c>
      <c r="C13" s="1">
        <f t="shared" si="0"/>
        <v>6.2150999999999996</v>
      </c>
      <c r="D13" s="1">
        <f t="shared" si="1"/>
        <v>30.4437</v>
      </c>
      <c r="E13" s="1">
        <f t="shared" si="2"/>
        <v>11.1229</v>
      </c>
      <c r="F13" s="1"/>
      <c r="H13" s="1"/>
    </row>
    <row r="14" spans="1:8" x14ac:dyDescent="0.3">
      <c r="A14" s="1">
        <v>13</v>
      </c>
      <c r="B14" s="1">
        <v>540.62339999999995</v>
      </c>
      <c r="C14" s="1">
        <f t="shared" si="0"/>
        <v>6.2927</v>
      </c>
      <c r="D14" s="1">
        <f t="shared" si="1"/>
        <v>30.3782</v>
      </c>
      <c r="E14" s="1">
        <f t="shared" si="2"/>
        <v>11.7049</v>
      </c>
      <c r="F14" s="1"/>
      <c r="H14" s="1"/>
    </row>
    <row r="15" spans="1:8" x14ac:dyDescent="0.3">
      <c r="A15" s="1">
        <v>14</v>
      </c>
      <c r="B15" s="1">
        <v>581.01199999999994</v>
      </c>
      <c r="C15" s="1">
        <f t="shared" si="0"/>
        <v>6.3647999999999998</v>
      </c>
      <c r="D15" s="1">
        <f t="shared" si="1"/>
        <v>30.3886</v>
      </c>
      <c r="E15" s="1">
        <f t="shared" si="2"/>
        <v>12.245699999999999</v>
      </c>
      <c r="F15" s="1"/>
      <c r="H15" s="1"/>
    </row>
    <row r="16" spans="1:8" x14ac:dyDescent="0.3">
      <c r="A16" s="1">
        <v>15</v>
      </c>
      <c r="B16" s="1">
        <v>621.44560000000001</v>
      </c>
      <c r="C16" s="1">
        <f t="shared" si="0"/>
        <v>6.4320000000000004</v>
      </c>
      <c r="D16" s="1">
        <f t="shared" si="1"/>
        <v>30.433599999999998</v>
      </c>
      <c r="E16" s="1">
        <f t="shared" si="2"/>
        <v>12.749700000000001</v>
      </c>
      <c r="F16" s="1"/>
      <c r="H16" s="1"/>
    </row>
    <row r="17" spans="1:8" x14ac:dyDescent="0.3">
      <c r="A17" s="1">
        <v>16</v>
      </c>
      <c r="B17" s="1">
        <v>661.89210000000003</v>
      </c>
      <c r="C17" s="1">
        <f t="shared" si="0"/>
        <v>6.4950999999999999</v>
      </c>
      <c r="D17" s="1">
        <f t="shared" si="1"/>
        <v>30.4465</v>
      </c>
      <c r="E17" s="1">
        <f t="shared" si="2"/>
        <v>13.223000000000001</v>
      </c>
      <c r="F17" s="1"/>
      <c r="H17" s="1"/>
    </row>
    <row r="18" spans="1:8" x14ac:dyDescent="0.3">
      <c r="A18" s="1">
        <v>17</v>
      </c>
      <c r="B18" s="1">
        <v>701.245</v>
      </c>
      <c r="C18" s="1">
        <f t="shared" si="0"/>
        <v>6.5529000000000002</v>
      </c>
      <c r="D18" s="1">
        <f t="shared" si="1"/>
        <v>29.352900000000002</v>
      </c>
      <c r="E18" s="1">
        <f t="shared" si="2"/>
        <v>13.656499999999999</v>
      </c>
      <c r="F18" s="1"/>
      <c r="H18" s="1"/>
    </row>
    <row r="19" spans="1:8" x14ac:dyDescent="0.3">
      <c r="A19" s="1">
        <v>18</v>
      </c>
      <c r="B19" s="1">
        <v>740.48230000000001</v>
      </c>
      <c r="C19" s="1">
        <f t="shared" si="0"/>
        <v>6.6073000000000004</v>
      </c>
      <c r="D19" s="1">
        <f t="shared" si="1"/>
        <v>29.237300000000001</v>
      </c>
      <c r="E19" s="1">
        <f t="shared" si="2"/>
        <v>14.064500000000001</v>
      </c>
      <c r="F19" s="1"/>
      <c r="H19" s="1"/>
    </row>
    <row r="20" spans="1:8" x14ac:dyDescent="0.3">
      <c r="A20" s="1">
        <v>19</v>
      </c>
      <c r="B20" s="1">
        <v>779.73119999999994</v>
      </c>
      <c r="C20" s="1">
        <f t="shared" si="0"/>
        <v>6.6589</v>
      </c>
      <c r="D20" s="1">
        <f t="shared" si="1"/>
        <v>29.248899999999999</v>
      </c>
      <c r="E20" s="1">
        <f t="shared" si="2"/>
        <v>14.451599999999999</v>
      </c>
      <c r="F20" s="1"/>
      <c r="H20" s="1"/>
    </row>
    <row r="21" spans="1:8" x14ac:dyDescent="0.3">
      <c r="A21" s="1">
        <v>20</v>
      </c>
      <c r="B21" s="1">
        <v>818.96249999999998</v>
      </c>
      <c r="C21" s="1">
        <f>ROUND(LN(B21),4)</f>
        <v>6.7080000000000002</v>
      </c>
      <c r="D21" s="1">
        <f t="shared" si="1"/>
        <v>29.231300000000001</v>
      </c>
      <c r="E21" s="1">
        <f t="shared" si="2"/>
        <v>14.819800000000001</v>
      </c>
      <c r="F21" s="1"/>
      <c r="H21" s="1"/>
    </row>
    <row r="22" spans="1:8" x14ac:dyDescent="0.3">
      <c r="A22" s="1">
        <v>21</v>
      </c>
      <c r="B22" s="1">
        <v>858.21029999999996</v>
      </c>
      <c r="C22" s="1">
        <f t="shared" si="0"/>
        <v>6.7548000000000004</v>
      </c>
      <c r="D22" s="1">
        <f t="shared" si="1"/>
        <v>29.247800000000002</v>
      </c>
      <c r="E22" s="1">
        <f t="shared" si="2"/>
        <v>15.1708</v>
      </c>
      <c r="F22" s="1"/>
      <c r="H22" s="1"/>
    </row>
    <row r="23" spans="1:8" x14ac:dyDescent="0.3">
      <c r="A23" s="1">
        <v>22</v>
      </c>
      <c r="B23" s="1">
        <v>897.45209999999997</v>
      </c>
      <c r="C23" s="1">
        <f t="shared" si="0"/>
        <v>6.7995999999999999</v>
      </c>
      <c r="D23" s="1">
        <f t="shared" si="1"/>
        <v>29.241800000000001</v>
      </c>
      <c r="E23" s="1">
        <f t="shared" si="2"/>
        <v>15.5069</v>
      </c>
      <c r="F23" s="1"/>
      <c r="H23" s="1"/>
    </row>
    <row r="24" spans="1:8" x14ac:dyDescent="0.3">
      <c r="A24" s="1">
        <v>23</v>
      </c>
      <c r="B24" s="1">
        <v>936.70140000000004</v>
      </c>
      <c r="C24" s="1">
        <f t="shared" si="0"/>
        <v>6.8423999999999996</v>
      </c>
      <c r="D24" s="1">
        <f t="shared" si="1"/>
        <v>29.249300000000002</v>
      </c>
      <c r="E24" s="1">
        <f t="shared" si="2"/>
        <v>15.8279</v>
      </c>
      <c r="F24" s="1"/>
      <c r="H24" s="1"/>
    </row>
    <row r="25" spans="1:8" x14ac:dyDescent="0.3">
      <c r="A25" s="1">
        <v>24</v>
      </c>
      <c r="B25" s="1">
        <v>975.94560000000001</v>
      </c>
      <c r="C25" s="1">
        <f t="shared" si="0"/>
        <v>6.8834</v>
      </c>
      <c r="D25" s="1">
        <f t="shared" si="1"/>
        <v>29.244199999999999</v>
      </c>
      <c r="E25" s="1">
        <f t="shared" si="2"/>
        <v>16.135400000000001</v>
      </c>
      <c r="F25" s="1"/>
      <c r="H25" s="1"/>
    </row>
    <row r="26" spans="1:8" x14ac:dyDescent="0.3">
      <c r="A26" s="1">
        <v>25</v>
      </c>
      <c r="B26" s="1">
        <v>1016.0601</v>
      </c>
      <c r="C26" s="1">
        <f t="shared" si="0"/>
        <v>6.9237000000000002</v>
      </c>
      <c r="D26" s="1">
        <f t="shared" si="1"/>
        <v>30.1145</v>
      </c>
      <c r="E26" s="1">
        <f t="shared" si="2"/>
        <v>16.4376</v>
      </c>
      <c r="F26" s="1"/>
      <c r="H26" s="1"/>
    </row>
    <row r="27" spans="1:8" x14ac:dyDescent="0.3">
      <c r="A27" s="1">
        <v>26</v>
      </c>
      <c r="B27" s="1">
        <v>1056.5289</v>
      </c>
      <c r="C27" s="1">
        <f t="shared" si="0"/>
        <v>6.9626999999999999</v>
      </c>
      <c r="D27" s="1">
        <f t="shared" si="1"/>
        <v>30.468800000000002</v>
      </c>
      <c r="E27" s="1">
        <f t="shared" si="2"/>
        <v>16.7302</v>
      </c>
      <c r="F27" s="1"/>
      <c r="H27" s="1"/>
    </row>
    <row r="28" spans="1:8" x14ac:dyDescent="0.3">
      <c r="A28" s="1">
        <v>27</v>
      </c>
      <c r="B28" s="1">
        <v>1097.3414</v>
      </c>
      <c r="C28" s="1">
        <f t="shared" si="0"/>
        <v>7.0006000000000004</v>
      </c>
      <c r="D28" s="1">
        <f t="shared" si="1"/>
        <v>30.8125</v>
      </c>
      <c r="E28" s="1">
        <f t="shared" si="2"/>
        <v>17.014399999999998</v>
      </c>
      <c r="F28" s="1"/>
      <c r="H28" s="1"/>
    </row>
    <row r="29" spans="1:8" x14ac:dyDescent="0.3">
      <c r="A29" s="1">
        <v>28</v>
      </c>
      <c r="B29" s="1">
        <v>1138.4872</v>
      </c>
      <c r="C29" s="1">
        <f t="shared" si="0"/>
        <v>7.0374999999999996</v>
      </c>
      <c r="D29" s="1">
        <f t="shared" si="1"/>
        <v>31.145800000000001</v>
      </c>
      <c r="E29" s="1">
        <f t="shared" si="2"/>
        <v>17.2912</v>
      </c>
      <c r="F29" s="1"/>
      <c r="H29" s="1"/>
    </row>
    <row r="30" spans="1:8" x14ac:dyDescent="0.3">
      <c r="A30" s="1">
        <v>29</v>
      </c>
      <c r="B30" s="1">
        <v>1179.9039</v>
      </c>
      <c r="C30" s="1">
        <f t="shared" si="0"/>
        <v>7.0731999999999999</v>
      </c>
      <c r="D30" s="1">
        <f t="shared" si="1"/>
        <v>31.416699999999999</v>
      </c>
      <c r="E30" s="1">
        <f t="shared" si="2"/>
        <v>17.559000000000001</v>
      </c>
      <c r="F30" s="1"/>
      <c r="H30" s="1"/>
    </row>
    <row r="31" spans="1:8" x14ac:dyDescent="0.3">
      <c r="A31" s="1">
        <v>30</v>
      </c>
      <c r="B31" s="1">
        <v>1221.5497</v>
      </c>
      <c r="C31" s="1">
        <f>ROUND(LN(B31),4)</f>
        <v>7.1078999999999999</v>
      </c>
      <c r="D31" s="1">
        <f t="shared" si="1"/>
        <v>31.645800000000001</v>
      </c>
      <c r="E31" s="1">
        <f t="shared" si="2"/>
        <v>17.819199999999999</v>
      </c>
      <c r="F31" s="1"/>
      <c r="H31" s="1"/>
    </row>
    <row r="32" spans="1:8" x14ac:dyDescent="0.3">
      <c r="A32" s="1">
        <v>31</v>
      </c>
      <c r="B32" s="1">
        <v>1263.3725999999999</v>
      </c>
      <c r="C32" s="1">
        <f t="shared" si="0"/>
        <v>7.1414999999999997</v>
      </c>
      <c r="D32" s="1">
        <f t="shared" si="1"/>
        <v>31.822900000000001</v>
      </c>
      <c r="E32" s="1">
        <f t="shared" si="2"/>
        <v>18.071200000000001</v>
      </c>
      <c r="F32" s="1"/>
      <c r="H32" s="1"/>
    </row>
    <row r="33" spans="1:11" x14ac:dyDescent="0.3">
      <c r="A33" s="1">
        <v>32</v>
      </c>
      <c r="B33" s="1">
        <v>1305.2475999999999</v>
      </c>
      <c r="C33" s="1">
        <f t="shared" si="0"/>
        <v>7.1741000000000001</v>
      </c>
      <c r="D33" s="1">
        <f t="shared" si="1"/>
        <v>31.875</v>
      </c>
      <c r="E33" s="1">
        <f t="shared" si="2"/>
        <v>18.3157</v>
      </c>
      <c r="F33" s="1"/>
      <c r="H33" s="1"/>
    </row>
    <row r="34" spans="1:11" x14ac:dyDescent="0.3">
      <c r="A34" s="1">
        <v>33</v>
      </c>
      <c r="B34" s="1">
        <v>1347.0706</v>
      </c>
      <c r="C34" s="1">
        <f t="shared" si="0"/>
        <v>7.2057000000000002</v>
      </c>
      <c r="D34" s="1">
        <f t="shared" si="1"/>
        <v>31.823</v>
      </c>
      <c r="E34" s="1">
        <f t="shared" si="2"/>
        <v>18.552700000000002</v>
      </c>
      <c r="F34" s="1"/>
      <c r="H34" s="1"/>
    </row>
    <row r="35" spans="1:11" x14ac:dyDescent="0.3">
      <c r="A35" s="1">
        <v>34</v>
      </c>
      <c r="B35" s="1">
        <v>1388.7372</v>
      </c>
      <c r="C35" s="1">
        <f t="shared" si="0"/>
        <v>7.2362000000000002</v>
      </c>
      <c r="D35" s="1">
        <f t="shared" ref="D35:D98" si="3">ROUND((B35-B34-10),4)</f>
        <v>31.666599999999999</v>
      </c>
      <c r="E35" s="1">
        <f t="shared" si="2"/>
        <v>18.781500000000001</v>
      </c>
      <c r="F35" s="1"/>
      <c r="H35" s="1"/>
    </row>
    <row r="36" spans="1:11" x14ac:dyDescent="0.3">
      <c r="A36" s="1">
        <v>35</v>
      </c>
      <c r="B36" s="1">
        <v>1430.2581</v>
      </c>
      <c r="C36" s="1">
        <f t="shared" si="0"/>
        <v>7.2656000000000001</v>
      </c>
      <c r="D36" s="1">
        <f t="shared" si="3"/>
        <v>31.520900000000001</v>
      </c>
      <c r="E36" s="1">
        <f t="shared" si="2"/>
        <v>19.001999999999999</v>
      </c>
      <c r="F36" s="1"/>
      <c r="H36" s="1"/>
      <c r="K36" s="1"/>
    </row>
    <row r="37" spans="1:11" x14ac:dyDescent="0.3">
      <c r="A37" s="1">
        <v>36</v>
      </c>
      <c r="B37" s="1">
        <v>1471.6539</v>
      </c>
      <c r="C37" s="1">
        <f t="shared" si="0"/>
        <v>7.2941000000000003</v>
      </c>
      <c r="D37" s="1">
        <f t="shared" si="3"/>
        <v>31.395800000000001</v>
      </c>
      <c r="E37" s="1">
        <f t="shared" si="2"/>
        <v>19.215800000000002</v>
      </c>
      <c r="F37" s="1"/>
      <c r="H37" s="1"/>
      <c r="K37" s="1"/>
    </row>
    <row r="38" spans="1:11" x14ac:dyDescent="0.3">
      <c r="A38" s="1">
        <f>A37+1</f>
        <v>37</v>
      </c>
      <c r="B38" s="1">
        <v>1512.9456</v>
      </c>
      <c r="C38" s="1">
        <f t="shared" si="0"/>
        <v>7.3217999999999996</v>
      </c>
      <c r="D38" s="1">
        <f t="shared" si="3"/>
        <v>31.291699999999999</v>
      </c>
      <c r="E38" s="1">
        <f t="shared" si="2"/>
        <v>19.423500000000001</v>
      </c>
      <c r="F38" s="1"/>
      <c r="H38" s="1"/>
      <c r="K38" s="1"/>
    </row>
    <row r="39" spans="1:11" x14ac:dyDescent="0.3">
      <c r="A39" s="1">
        <f t="shared" ref="A39:A102" si="4">A38+1</f>
        <v>38</v>
      </c>
      <c r="B39" s="1">
        <v>1554.1017999999999</v>
      </c>
      <c r="C39" s="1">
        <f t="shared" si="0"/>
        <v>7.3487</v>
      </c>
      <c r="D39" s="1">
        <f t="shared" si="3"/>
        <v>31.156199999999998</v>
      </c>
      <c r="E39" s="1">
        <f t="shared" si="2"/>
        <v>19.625299999999999</v>
      </c>
      <c r="F39" s="1"/>
      <c r="H39" s="1"/>
      <c r="K39" s="1"/>
    </row>
    <row r="40" spans="1:11" x14ac:dyDescent="0.3">
      <c r="A40" s="1">
        <f t="shared" si="4"/>
        <v>39</v>
      </c>
      <c r="B40" s="1">
        <v>1595.0914</v>
      </c>
      <c r="C40" s="1">
        <f t="shared" si="0"/>
        <v>7.3746999999999998</v>
      </c>
      <c r="D40" s="1">
        <f t="shared" si="3"/>
        <v>30.989599999999999</v>
      </c>
      <c r="E40" s="1">
        <f t="shared" si="2"/>
        <v>19.8203</v>
      </c>
      <c r="F40" s="1"/>
      <c r="H40" s="1"/>
      <c r="K40" s="1"/>
    </row>
    <row r="41" spans="1:11" x14ac:dyDescent="0.3">
      <c r="A41" s="1">
        <f t="shared" si="4"/>
        <v>40</v>
      </c>
      <c r="B41" s="1">
        <v>1635.9350999999999</v>
      </c>
      <c r="C41" s="1">
        <f>ROUND(LN(B41),4)</f>
        <v>7.4</v>
      </c>
      <c r="D41" s="1">
        <f t="shared" si="3"/>
        <v>30.843699999999998</v>
      </c>
      <c r="E41" s="1">
        <f t="shared" si="2"/>
        <v>20.010100000000001</v>
      </c>
      <c r="F41" s="1"/>
      <c r="H41" s="1"/>
      <c r="K41" s="1"/>
    </row>
    <row r="42" spans="1:11" x14ac:dyDescent="0.3">
      <c r="A42" s="1">
        <f t="shared" si="4"/>
        <v>41</v>
      </c>
      <c r="B42" s="1">
        <v>1676.6331</v>
      </c>
      <c r="C42" s="1">
        <f t="shared" si="0"/>
        <v>7.4245000000000001</v>
      </c>
      <c r="D42" s="1">
        <f t="shared" si="3"/>
        <v>30.698</v>
      </c>
      <c r="E42" s="1">
        <f t="shared" si="2"/>
        <v>20.1938</v>
      </c>
      <c r="F42" s="1"/>
      <c r="H42" s="1"/>
      <c r="K42" s="1"/>
    </row>
    <row r="43" spans="1:11" x14ac:dyDescent="0.3">
      <c r="A43" s="1">
        <f t="shared" si="4"/>
        <v>42</v>
      </c>
      <c r="B43" s="1">
        <v>1717.1747</v>
      </c>
      <c r="C43" s="1">
        <f t="shared" si="0"/>
        <v>7.4484000000000004</v>
      </c>
      <c r="D43" s="1">
        <f t="shared" si="3"/>
        <v>30.541599999999999</v>
      </c>
      <c r="E43" s="1">
        <f t="shared" si="2"/>
        <v>20.373100000000001</v>
      </c>
      <c r="F43" s="1"/>
      <c r="H43" s="1"/>
      <c r="K43" s="1"/>
    </row>
    <row r="44" spans="1:11" x14ac:dyDescent="0.3">
      <c r="A44" s="1">
        <f t="shared" si="4"/>
        <v>43</v>
      </c>
      <c r="B44" s="1">
        <v>1757.5497</v>
      </c>
      <c r="C44" s="1">
        <f t="shared" si="0"/>
        <v>7.4717000000000002</v>
      </c>
      <c r="D44" s="1">
        <f t="shared" si="3"/>
        <v>30.375</v>
      </c>
      <c r="E44" s="1">
        <f t="shared" si="2"/>
        <v>20.547799999999999</v>
      </c>
      <c r="F44" s="1"/>
      <c r="H44" s="1"/>
      <c r="K44" s="1"/>
    </row>
    <row r="45" spans="1:11" x14ac:dyDescent="0.3">
      <c r="A45" s="1">
        <f t="shared" si="4"/>
        <v>44</v>
      </c>
      <c r="B45" s="1">
        <v>1797.7581</v>
      </c>
      <c r="C45" s="1">
        <f t="shared" si="0"/>
        <v>7.4943</v>
      </c>
      <c r="D45" s="1">
        <f t="shared" si="3"/>
        <v>30.208400000000001</v>
      </c>
      <c r="E45" s="1">
        <f t="shared" si="2"/>
        <v>20.717400000000001</v>
      </c>
      <c r="F45" s="1"/>
      <c r="H45" s="1"/>
      <c r="K45" s="1"/>
    </row>
    <row r="46" spans="1:11" x14ac:dyDescent="0.3">
      <c r="A46" s="1">
        <f t="shared" si="4"/>
        <v>45</v>
      </c>
      <c r="B46" s="1">
        <v>1837.8414</v>
      </c>
      <c r="C46" s="1">
        <f t="shared" si="0"/>
        <v>7.5163000000000002</v>
      </c>
      <c r="D46" s="1">
        <f t="shared" si="3"/>
        <v>30.083300000000001</v>
      </c>
      <c r="E46" s="1">
        <f t="shared" si="2"/>
        <v>20.882400000000001</v>
      </c>
      <c r="F46" s="1"/>
      <c r="H46" s="1"/>
      <c r="K46" s="1"/>
    </row>
    <row r="47" spans="1:11" x14ac:dyDescent="0.3">
      <c r="A47" s="1">
        <f t="shared" si="4"/>
        <v>46</v>
      </c>
      <c r="B47" s="1">
        <v>1877.8725999999999</v>
      </c>
      <c r="C47" s="1">
        <f t="shared" si="0"/>
        <v>7.5378999999999996</v>
      </c>
      <c r="D47" s="1">
        <f t="shared" si="3"/>
        <v>30.031199999999998</v>
      </c>
      <c r="E47" s="1">
        <f t="shared" si="2"/>
        <v>21.0444</v>
      </c>
      <c r="F47" s="1"/>
      <c r="H47" s="1"/>
      <c r="K47" s="1"/>
    </row>
    <row r="48" spans="1:11" x14ac:dyDescent="0.3">
      <c r="A48" s="1">
        <f t="shared" si="4"/>
        <v>47</v>
      </c>
      <c r="B48" s="1">
        <v>1917.9558999999999</v>
      </c>
      <c r="C48" s="1">
        <f t="shared" si="0"/>
        <v>7.5590000000000002</v>
      </c>
      <c r="D48" s="1">
        <f t="shared" si="3"/>
        <v>30.083300000000001</v>
      </c>
      <c r="E48" s="1">
        <f t="shared" si="2"/>
        <v>21.2026</v>
      </c>
      <c r="F48" s="1"/>
      <c r="H48" s="1"/>
      <c r="K48" s="1"/>
    </row>
    <row r="49" spans="1:11" x14ac:dyDescent="0.3">
      <c r="A49" s="1">
        <f t="shared" si="4"/>
        <v>48</v>
      </c>
      <c r="B49" s="1">
        <v>1958.1641999999999</v>
      </c>
      <c r="C49" s="1">
        <f t="shared" si="0"/>
        <v>7.5797999999999996</v>
      </c>
      <c r="D49" s="1">
        <f t="shared" si="3"/>
        <v>30.208300000000001</v>
      </c>
      <c r="E49" s="1">
        <f t="shared" si="2"/>
        <v>21.358599999999999</v>
      </c>
      <c r="F49" s="1"/>
      <c r="H49" s="1"/>
      <c r="K49" s="1"/>
    </row>
    <row r="50" spans="1:11" x14ac:dyDescent="0.3">
      <c r="A50" s="1">
        <f t="shared" si="4"/>
        <v>49</v>
      </c>
      <c r="B50" s="1">
        <v>1998.5808999999999</v>
      </c>
      <c r="C50" s="1">
        <f t="shared" si="0"/>
        <v>7.6002000000000001</v>
      </c>
      <c r="D50" s="1">
        <f t="shared" si="3"/>
        <v>30.416699999999999</v>
      </c>
      <c r="E50" s="1">
        <f t="shared" si="2"/>
        <v>21.511600000000001</v>
      </c>
      <c r="F50" s="1"/>
      <c r="H50" s="1"/>
      <c r="K50" s="1"/>
    </row>
    <row r="51" spans="1:11" x14ac:dyDescent="0.3">
      <c r="A51" s="1">
        <f t="shared" si="4"/>
        <v>50</v>
      </c>
      <c r="B51" s="1">
        <v>2039.2996000000001</v>
      </c>
      <c r="C51" s="1">
        <f t="shared" ref="C51:C114" si="5">ROUND(LN(B51),4)</f>
        <v>7.6204000000000001</v>
      </c>
      <c r="D51" s="1">
        <f t="shared" si="3"/>
        <v>30.718699999999998</v>
      </c>
      <c r="E51" s="1">
        <f t="shared" si="2"/>
        <v>21.6631</v>
      </c>
      <c r="K51" s="1"/>
    </row>
    <row r="52" spans="1:11" x14ac:dyDescent="0.3">
      <c r="A52" s="1">
        <f t="shared" si="4"/>
        <v>51</v>
      </c>
      <c r="B52" s="1">
        <v>2080.3204999999998</v>
      </c>
      <c r="C52" s="1">
        <f t="shared" si="5"/>
        <v>7.6402999999999999</v>
      </c>
      <c r="D52" s="1">
        <f t="shared" si="3"/>
        <v>31.020900000000001</v>
      </c>
      <c r="E52" s="1">
        <f t="shared" si="2"/>
        <v>21.8124</v>
      </c>
      <c r="K52" s="1"/>
    </row>
    <row r="53" spans="1:11" x14ac:dyDescent="0.3">
      <c r="A53" s="1">
        <f t="shared" si="4"/>
        <v>52</v>
      </c>
      <c r="B53" s="1">
        <v>2121.6120999999998</v>
      </c>
      <c r="C53" s="1">
        <f t="shared" si="5"/>
        <v>7.6599000000000004</v>
      </c>
      <c r="D53" s="1">
        <f t="shared" si="3"/>
        <v>31.291599999999999</v>
      </c>
      <c r="E53" s="1">
        <f t="shared" si="2"/>
        <v>21.959399999999999</v>
      </c>
      <c r="K53" s="1"/>
    </row>
    <row r="54" spans="1:11" x14ac:dyDescent="0.3">
      <c r="A54" s="1">
        <f t="shared" si="4"/>
        <v>53</v>
      </c>
      <c r="B54" s="1">
        <v>2163.1329999999998</v>
      </c>
      <c r="C54" s="1">
        <f t="shared" si="5"/>
        <v>7.6792999999999996</v>
      </c>
      <c r="D54" s="1">
        <f t="shared" si="3"/>
        <v>31.520900000000001</v>
      </c>
      <c r="E54" s="1">
        <f t="shared" si="2"/>
        <v>22.104900000000001</v>
      </c>
      <c r="K54" s="1"/>
    </row>
    <row r="55" spans="1:11" x14ac:dyDescent="0.3">
      <c r="A55" s="1">
        <f t="shared" si="4"/>
        <v>54</v>
      </c>
      <c r="B55" s="1">
        <v>2204.7995999999998</v>
      </c>
      <c r="C55" s="1">
        <f t="shared" si="5"/>
        <v>7.6984000000000004</v>
      </c>
      <c r="D55" s="1">
        <f t="shared" si="3"/>
        <v>31.666599999999999</v>
      </c>
      <c r="E55" s="1">
        <f t="shared" si="2"/>
        <v>22.248200000000001</v>
      </c>
      <c r="K55" s="1"/>
    </row>
    <row r="56" spans="1:11" x14ac:dyDescent="0.3">
      <c r="A56" s="1">
        <f t="shared" si="4"/>
        <v>55</v>
      </c>
      <c r="B56" s="1">
        <v>2246.5495999999998</v>
      </c>
      <c r="C56" s="1">
        <f t="shared" si="5"/>
        <v>7.7172000000000001</v>
      </c>
      <c r="D56" s="1">
        <f t="shared" si="3"/>
        <v>31.75</v>
      </c>
      <c r="E56" s="1">
        <f t="shared" si="2"/>
        <v>22.389199999999999</v>
      </c>
      <c r="K56" s="1"/>
    </row>
    <row r="57" spans="1:11" x14ac:dyDescent="0.3">
      <c r="A57" s="1">
        <f t="shared" si="4"/>
        <v>56</v>
      </c>
      <c r="B57" s="1">
        <v>2288.2995999999998</v>
      </c>
      <c r="C57" s="1">
        <f t="shared" si="5"/>
        <v>7.7355999999999998</v>
      </c>
      <c r="D57" s="1">
        <f>ROUND((B57-B56-10),4)</f>
        <v>31.75</v>
      </c>
      <c r="E57" s="1">
        <f t="shared" si="2"/>
        <v>22.527200000000001</v>
      </c>
      <c r="K57" s="1"/>
    </row>
    <row r="58" spans="1:11" x14ac:dyDescent="0.3">
      <c r="A58" s="1">
        <f t="shared" si="4"/>
        <v>57</v>
      </c>
      <c r="B58" s="1">
        <v>2330.0495999999998</v>
      </c>
      <c r="C58" s="1">
        <f>ROUND(LN(B58),4)</f>
        <v>7.7535999999999996</v>
      </c>
      <c r="D58" s="1">
        <f>ROUND((B58-B57-10),4)</f>
        <v>31.75</v>
      </c>
      <c r="E58" s="1">
        <f t="shared" si="2"/>
        <v>22.662199999999999</v>
      </c>
      <c r="K58" s="1"/>
    </row>
    <row r="59" spans="1:11" x14ac:dyDescent="0.3">
      <c r="A59" s="1">
        <f t="shared" si="4"/>
        <v>58</v>
      </c>
      <c r="B59" s="1">
        <v>2371.7474999999999</v>
      </c>
      <c r="C59" s="1">
        <f t="shared" si="5"/>
        <v>7.7713999999999999</v>
      </c>
      <c r="D59" s="1">
        <f t="shared" si="3"/>
        <v>31.697900000000001</v>
      </c>
      <c r="E59" s="1">
        <f t="shared" si="2"/>
        <v>22.7957</v>
      </c>
      <c r="K59" s="1"/>
    </row>
    <row r="60" spans="1:11" x14ac:dyDescent="0.3">
      <c r="A60" s="1">
        <f t="shared" si="4"/>
        <v>59</v>
      </c>
      <c r="B60" s="1">
        <v>2413.4349999999999</v>
      </c>
      <c r="C60" s="1">
        <f t="shared" si="5"/>
        <v>7.7888000000000002</v>
      </c>
      <c r="D60" s="1">
        <f t="shared" si="3"/>
        <v>31.6875</v>
      </c>
      <c r="E60" s="1">
        <f t="shared" si="2"/>
        <v>22.926200000000001</v>
      </c>
      <c r="K60" s="1"/>
    </row>
    <row r="61" spans="1:11" x14ac:dyDescent="0.3">
      <c r="A61" s="1">
        <f t="shared" si="4"/>
        <v>60</v>
      </c>
      <c r="B61" s="1">
        <v>2455.1016</v>
      </c>
      <c r="C61" s="1">
        <f t="shared" si="5"/>
        <v>7.8059000000000003</v>
      </c>
      <c r="D61" s="1">
        <f t="shared" si="3"/>
        <v>31.666599999999999</v>
      </c>
      <c r="E61" s="1">
        <f t="shared" si="2"/>
        <v>23.054500000000001</v>
      </c>
      <c r="K61" s="1"/>
    </row>
    <row r="62" spans="1:11" x14ac:dyDescent="0.3">
      <c r="A62" s="1">
        <f t="shared" si="4"/>
        <v>61</v>
      </c>
      <c r="B62" s="1">
        <v>2496.7370000000001</v>
      </c>
      <c r="C62" s="1">
        <f t="shared" si="5"/>
        <v>7.8227000000000002</v>
      </c>
      <c r="D62" s="1">
        <f t="shared" si="3"/>
        <v>31.635400000000001</v>
      </c>
      <c r="E62" s="1">
        <f t="shared" si="2"/>
        <v>23.180499999999999</v>
      </c>
      <c r="K62" s="1"/>
    </row>
    <row r="63" spans="1:11" x14ac:dyDescent="0.3">
      <c r="A63" s="1">
        <f t="shared" si="4"/>
        <v>62</v>
      </c>
      <c r="B63" s="1">
        <v>2538.2786000000001</v>
      </c>
      <c r="C63" s="1">
        <f t="shared" si="5"/>
        <v>7.8391999999999999</v>
      </c>
      <c r="D63" s="1">
        <f t="shared" si="3"/>
        <v>31.541599999999999</v>
      </c>
      <c r="E63" s="1">
        <f t="shared" si="2"/>
        <v>23.304200000000002</v>
      </c>
      <c r="K63" s="1"/>
    </row>
    <row r="64" spans="1:11" x14ac:dyDescent="0.3">
      <c r="A64" s="1">
        <f t="shared" si="4"/>
        <v>63</v>
      </c>
      <c r="B64" s="1">
        <v>2579.6536000000001</v>
      </c>
      <c r="C64" s="1">
        <f t="shared" si="5"/>
        <v>7.8554000000000004</v>
      </c>
      <c r="D64" s="1">
        <f t="shared" si="3"/>
        <v>31.375</v>
      </c>
      <c r="E64" s="1">
        <f t="shared" si="2"/>
        <v>23.425699999999999</v>
      </c>
      <c r="K64" s="1"/>
    </row>
    <row r="65" spans="1:11" x14ac:dyDescent="0.3">
      <c r="A65" s="1">
        <f t="shared" si="4"/>
        <v>64</v>
      </c>
      <c r="B65" s="1">
        <v>2620.8620000000001</v>
      </c>
      <c r="C65" s="1">
        <f t="shared" si="5"/>
        <v>7.8712999999999997</v>
      </c>
      <c r="D65" s="1">
        <f t="shared" si="3"/>
        <v>31.208400000000001</v>
      </c>
      <c r="E65" s="1">
        <f t="shared" si="2"/>
        <v>23.545000000000002</v>
      </c>
      <c r="K65" s="1"/>
    </row>
    <row r="66" spans="1:11" x14ac:dyDescent="0.3">
      <c r="A66" s="1">
        <f t="shared" si="4"/>
        <v>65</v>
      </c>
      <c r="B66" s="1">
        <v>2661.8516</v>
      </c>
      <c r="C66" s="1">
        <f t="shared" si="5"/>
        <v>7.8868</v>
      </c>
      <c r="D66" s="1">
        <f t="shared" si="3"/>
        <v>30.989599999999999</v>
      </c>
      <c r="E66" s="1">
        <f t="shared" si="2"/>
        <v>23.661200000000001</v>
      </c>
      <c r="K66" s="1"/>
    </row>
    <row r="67" spans="1:11" x14ac:dyDescent="0.3">
      <c r="A67" s="1">
        <f t="shared" si="4"/>
        <v>66</v>
      </c>
      <c r="B67" s="1">
        <v>2702.6641</v>
      </c>
      <c r="C67" s="1">
        <f t="shared" si="5"/>
        <v>7.9020000000000001</v>
      </c>
      <c r="D67" s="1">
        <f t="shared" si="3"/>
        <v>30.8125</v>
      </c>
      <c r="E67" s="1">
        <f t="shared" ref="E67:E120" si="6" xml:space="preserve"> ROUND((-35.4926115311587+(7.50036234297275*C67)),4)</f>
        <v>23.775300000000001</v>
      </c>
      <c r="K67" s="1"/>
    </row>
    <row r="68" spans="1:11" x14ac:dyDescent="0.3">
      <c r="A68" s="1">
        <f t="shared" si="4"/>
        <v>67</v>
      </c>
      <c r="B68" s="1">
        <v>2743.3307</v>
      </c>
      <c r="C68" s="1">
        <f t="shared" si="5"/>
        <v>7.9169</v>
      </c>
      <c r="D68" s="1">
        <f t="shared" si="3"/>
        <v>30.666599999999999</v>
      </c>
      <c r="E68" s="1">
        <f t="shared" si="6"/>
        <v>23.887</v>
      </c>
      <c r="K68" s="1"/>
    </row>
    <row r="69" spans="1:11" x14ac:dyDescent="0.3">
      <c r="A69" s="1">
        <f t="shared" si="4"/>
        <v>68</v>
      </c>
      <c r="B69" s="1">
        <v>2783.8932</v>
      </c>
      <c r="C69" s="1">
        <f t="shared" si="5"/>
        <v>7.9316000000000004</v>
      </c>
      <c r="D69" s="1">
        <f t="shared" si="3"/>
        <v>30.5625</v>
      </c>
      <c r="E69" s="1">
        <f t="shared" si="6"/>
        <v>23.997299999999999</v>
      </c>
      <c r="K69" s="1"/>
    </row>
    <row r="70" spans="1:11" x14ac:dyDescent="0.3">
      <c r="A70" s="1">
        <f t="shared" si="4"/>
        <v>69</v>
      </c>
      <c r="B70" s="1">
        <v>2824.4245000000001</v>
      </c>
      <c r="C70" s="1">
        <f t="shared" si="5"/>
        <v>7.9461000000000004</v>
      </c>
      <c r="D70" s="1">
        <f t="shared" si="3"/>
        <v>30.531300000000002</v>
      </c>
      <c r="E70" s="1">
        <f t="shared" si="6"/>
        <v>24.106000000000002</v>
      </c>
      <c r="K70" s="1"/>
    </row>
    <row r="71" spans="1:11" x14ac:dyDescent="0.3">
      <c r="A71" s="1">
        <f t="shared" si="4"/>
        <v>70</v>
      </c>
      <c r="B71" s="1">
        <v>2864.9766</v>
      </c>
      <c r="C71" s="1">
        <f t="shared" si="5"/>
        <v>7.9603000000000002</v>
      </c>
      <c r="D71" s="1">
        <f t="shared" si="3"/>
        <v>30.552099999999999</v>
      </c>
      <c r="E71" s="1">
        <f t="shared" si="6"/>
        <v>24.212499999999999</v>
      </c>
      <c r="K71" s="1"/>
    </row>
    <row r="72" spans="1:11" x14ac:dyDescent="0.3">
      <c r="A72" s="1">
        <f t="shared" si="4"/>
        <v>71</v>
      </c>
      <c r="B72" s="1">
        <v>2905.6536999999998</v>
      </c>
      <c r="C72" s="1">
        <f t="shared" si="5"/>
        <v>7.9744000000000002</v>
      </c>
      <c r="D72" s="1">
        <f t="shared" si="3"/>
        <v>30.677099999999999</v>
      </c>
      <c r="E72" s="1">
        <f t="shared" si="6"/>
        <v>24.318300000000001</v>
      </c>
      <c r="K72" s="1"/>
    </row>
    <row r="73" spans="1:11" x14ac:dyDescent="0.3">
      <c r="A73" s="1">
        <f t="shared" si="4"/>
        <v>72</v>
      </c>
      <c r="B73" s="1">
        <v>2946.4870000000001</v>
      </c>
      <c r="C73" s="1">
        <f t="shared" si="5"/>
        <v>7.9884000000000004</v>
      </c>
      <c r="D73" s="1">
        <f t="shared" si="3"/>
        <v>30.833300000000001</v>
      </c>
      <c r="E73" s="1">
        <f t="shared" si="6"/>
        <v>24.423300000000001</v>
      </c>
      <c r="K73" s="1"/>
    </row>
    <row r="74" spans="1:11" x14ac:dyDescent="0.3">
      <c r="A74" s="1">
        <f t="shared" si="4"/>
        <v>73</v>
      </c>
      <c r="B74" s="1">
        <v>2987.0704000000001</v>
      </c>
      <c r="C74" s="1">
        <f t="shared" si="5"/>
        <v>8.0020000000000007</v>
      </c>
      <c r="D74" s="1">
        <f t="shared" si="3"/>
        <v>30.583400000000001</v>
      </c>
      <c r="E74" s="1">
        <f t="shared" si="6"/>
        <v>24.525300000000001</v>
      </c>
      <c r="K74" s="1"/>
    </row>
    <row r="75" spans="1:11" x14ac:dyDescent="0.3">
      <c r="A75" s="1">
        <f t="shared" si="4"/>
        <v>74</v>
      </c>
      <c r="B75" s="1">
        <v>3027.6329000000001</v>
      </c>
      <c r="C75" s="1">
        <f t="shared" si="5"/>
        <v>8.0154999999999994</v>
      </c>
      <c r="D75" s="1">
        <f t="shared" si="3"/>
        <v>30.5625</v>
      </c>
      <c r="E75" s="1">
        <f t="shared" si="6"/>
        <v>24.6265</v>
      </c>
      <c r="K75" s="1"/>
    </row>
    <row r="76" spans="1:11" x14ac:dyDescent="0.3">
      <c r="A76" s="1">
        <f t="shared" si="4"/>
        <v>75</v>
      </c>
      <c r="B76" s="1">
        <v>3068.4036000000001</v>
      </c>
      <c r="C76" s="1">
        <f t="shared" si="5"/>
        <v>8.0289000000000001</v>
      </c>
      <c r="D76" s="1">
        <f t="shared" si="3"/>
        <v>30.770700000000001</v>
      </c>
      <c r="E76" s="1">
        <f t="shared" si="6"/>
        <v>24.727</v>
      </c>
      <c r="K76" s="1"/>
    </row>
    <row r="77" spans="1:11" x14ac:dyDescent="0.3">
      <c r="A77" s="1">
        <f t="shared" si="4"/>
        <v>76</v>
      </c>
      <c r="B77" s="1">
        <v>3109.4868999999999</v>
      </c>
      <c r="C77" s="1">
        <f t="shared" si="5"/>
        <v>8.0421999999999993</v>
      </c>
      <c r="D77" s="1">
        <f t="shared" si="3"/>
        <v>31.083300000000001</v>
      </c>
      <c r="E77" s="1">
        <f t="shared" si="6"/>
        <v>24.826799999999999</v>
      </c>
      <c r="K77" s="1"/>
    </row>
    <row r="78" spans="1:11" x14ac:dyDescent="0.3">
      <c r="A78" s="1">
        <f t="shared" si="4"/>
        <v>77</v>
      </c>
      <c r="B78" s="1">
        <v>3150.8618999999999</v>
      </c>
      <c r="C78" s="1">
        <f t="shared" si="5"/>
        <v>8.0554000000000006</v>
      </c>
      <c r="D78" s="1">
        <f t="shared" si="3"/>
        <v>31.375</v>
      </c>
      <c r="E78" s="1">
        <f t="shared" si="6"/>
        <v>24.925799999999999</v>
      </c>
      <c r="K78" s="1"/>
    </row>
    <row r="79" spans="1:11" x14ac:dyDescent="0.3">
      <c r="A79" s="1">
        <f t="shared" si="4"/>
        <v>78</v>
      </c>
      <c r="B79" s="1">
        <v>3192.4555999999998</v>
      </c>
      <c r="C79" s="1">
        <f t="shared" si="5"/>
        <v>8.0685000000000002</v>
      </c>
      <c r="D79" s="1">
        <f t="shared" si="3"/>
        <v>31.593699999999998</v>
      </c>
      <c r="E79" s="1">
        <f t="shared" si="6"/>
        <v>25.024100000000001</v>
      </c>
      <c r="K79" s="1"/>
    </row>
    <row r="80" spans="1:11" x14ac:dyDescent="0.3">
      <c r="A80" s="1">
        <f t="shared" si="4"/>
        <v>79</v>
      </c>
      <c r="B80" s="1">
        <v>3234.1950999999999</v>
      </c>
      <c r="C80" s="1">
        <f t="shared" si="5"/>
        <v>8.0815000000000001</v>
      </c>
      <c r="D80" s="1">
        <f t="shared" si="3"/>
        <v>31.7395</v>
      </c>
      <c r="E80" s="1">
        <f t="shared" si="6"/>
        <v>25.121600000000001</v>
      </c>
      <c r="K80" s="1"/>
    </row>
    <row r="81" spans="1:11" x14ac:dyDescent="0.3">
      <c r="A81" s="1">
        <f t="shared" si="4"/>
        <v>80</v>
      </c>
      <c r="B81" s="1">
        <v>3275.9659000000001</v>
      </c>
      <c r="C81" s="1">
        <f t="shared" si="5"/>
        <v>8.0944000000000003</v>
      </c>
      <c r="D81" s="1">
        <f t="shared" si="3"/>
        <v>31.770800000000001</v>
      </c>
      <c r="E81" s="1">
        <f t="shared" si="6"/>
        <v>25.218299999999999</v>
      </c>
      <c r="K81" s="1"/>
    </row>
    <row r="82" spans="1:11" x14ac:dyDescent="0.3">
      <c r="A82" s="1">
        <f t="shared" si="4"/>
        <v>81</v>
      </c>
      <c r="B82" s="1">
        <v>3317.6741000000002</v>
      </c>
      <c r="C82" s="1">
        <f t="shared" si="5"/>
        <v>8.1069999999999993</v>
      </c>
      <c r="D82" s="1">
        <f t="shared" si="3"/>
        <v>31.708200000000001</v>
      </c>
      <c r="E82" s="1">
        <f t="shared" si="6"/>
        <v>25.312799999999999</v>
      </c>
      <c r="K82" s="1"/>
    </row>
    <row r="83" spans="1:11" x14ac:dyDescent="0.3">
      <c r="A83" s="1">
        <f t="shared" si="4"/>
        <v>82</v>
      </c>
      <c r="B83" s="1">
        <v>3359.2366000000002</v>
      </c>
      <c r="C83" s="1">
        <f t="shared" si="5"/>
        <v>8.1195000000000004</v>
      </c>
      <c r="D83" s="1">
        <f t="shared" si="3"/>
        <v>31.5625</v>
      </c>
      <c r="E83" s="1">
        <f t="shared" si="6"/>
        <v>25.406600000000001</v>
      </c>
      <c r="K83" s="1"/>
    </row>
    <row r="84" spans="1:11" x14ac:dyDescent="0.3">
      <c r="A84" s="1">
        <f t="shared" si="4"/>
        <v>83</v>
      </c>
      <c r="B84" s="1">
        <v>3400.6221</v>
      </c>
      <c r="C84" s="1">
        <f t="shared" si="5"/>
        <v>8.1317000000000004</v>
      </c>
      <c r="D84" s="1">
        <f t="shared" si="3"/>
        <v>31.3855</v>
      </c>
      <c r="E84" s="1">
        <f t="shared" si="6"/>
        <v>25.498100000000001</v>
      </c>
      <c r="K84" s="1"/>
    </row>
    <row r="85" spans="1:11" x14ac:dyDescent="0.3">
      <c r="A85" s="1">
        <f t="shared" si="4"/>
        <v>84</v>
      </c>
      <c r="B85" s="1">
        <v>3441.5491000000002</v>
      </c>
      <c r="C85" s="1">
        <f t="shared" si="5"/>
        <v>8.1437000000000008</v>
      </c>
      <c r="D85" s="1">
        <f t="shared" si="3"/>
        <v>30.927</v>
      </c>
      <c r="E85" s="1">
        <f t="shared" si="6"/>
        <v>25.588100000000001</v>
      </c>
    </row>
    <row r="86" spans="1:11" x14ac:dyDescent="0.3">
      <c r="A86" s="1">
        <f t="shared" si="4"/>
        <v>85</v>
      </c>
      <c r="B86" s="1">
        <v>3481.9866000000002</v>
      </c>
      <c r="C86" s="1">
        <f t="shared" si="5"/>
        <v>8.1554000000000002</v>
      </c>
      <c r="D86" s="1">
        <f t="shared" si="3"/>
        <v>30.4375</v>
      </c>
      <c r="E86" s="1">
        <f t="shared" si="6"/>
        <v>25.675799999999999</v>
      </c>
    </row>
    <row r="87" spans="1:11" x14ac:dyDescent="0.3">
      <c r="A87" s="1">
        <f t="shared" si="4"/>
        <v>86</v>
      </c>
      <c r="B87" s="1">
        <v>3522.2885999999999</v>
      </c>
      <c r="C87" s="1">
        <f t="shared" si="5"/>
        <v>8.1669</v>
      </c>
      <c r="D87" s="1">
        <f t="shared" si="3"/>
        <v>30.302</v>
      </c>
      <c r="E87" s="1">
        <f t="shared" si="6"/>
        <v>25.7621</v>
      </c>
    </row>
    <row r="88" spans="1:11" x14ac:dyDescent="0.3">
      <c r="A88" s="1">
        <f t="shared" si="4"/>
        <v>87</v>
      </c>
      <c r="B88" s="1">
        <v>3562.4553999999998</v>
      </c>
      <c r="C88" s="1">
        <f t="shared" si="5"/>
        <v>8.1782000000000004</v>
      </c>
      <c r="D88" s="1">
        <f t="shared" si="3"/>
        <v>30.166799999999999</v>
      </c>
      <c r="E88" s="1">
        <f t="shared" si="6"/>
        <v>25.846900000000002</v>
      </c>
    </row>
    <row r="89" spans="1:11" x14ac:dyDescent="0.3">
      <c r="A89" s="1">
        <f t="shared" si="4"/>
        <v>88</v>
      </c>
      <c r="B89" s="1">
        <v>3602.4659000000001</v>
      </c>
      <c r="C89" s="1">
        <f t="shared" si="5"/>
        <v>8.1893999999999991</v>
      </c>
      <c r="D89" s="1">
        <f t="shared" si="3"/>
        <v>30.0105</v>
      </c>
      <c r="E89" s="1">
        <f t="shared" si="6"/>
        <v>25.930900000000001</v>
      </c>
    </row>
    <row r="90" spans="1:11" x14ac:dyDescent="0.3">
      <c r="A90" s="1">
        <f t="shared" si="4"/>
        <v>89</v>
      </c>
      <c r="B90" s="1">
        <v>3642.3825999999999</v>
      </c>
      <c r="C90" s="1">
        <f t="shared" si="5"/>
        <v>8.2004000000000001</v>
      </c>
      <c r="D90" s="1">
        <f t="shared" si="3"/>
        <v>29.916699999999999</v>
      </c>
      <c r="E90" s="1">
        <f t="shared" si="6"/>
        <v>26.013400000000001</v>
      </c>
    </row>
    <row r="91" spans="1:11" x14ac:dyDescent="0.3">
      <c r="A91" s="1">
        <f t="shared" si="4"/>
        <v>90</v>
      </c>
      <c r="B91" s="1">
        <v>3682.2680999999998</v>
      </c>
      <c r="C91" s="1">
        <f t="shared" si="5"/>
        <v>8.2112999999999996</v>
      </c>
      <c r="D91" s="1">
        <f t="shared" si="3"/>
        <v>29.8855</v>
      </c>
      <c r="E91" s="1">
        <f t="shared" si="6"/>
        <v>26.095099999999999</v>
      </c>
    </row>
    <row r="92" spans="1:11" x14ac:dyDescent="0.3">
      <c r="A92" s="1">
        <f t="shared" si="4"/>
        <v>91</v>
      </c>
      <c r="B92" s="1">
        <v>3722.2264</v>
      </c>
      <c r="C92" s="1">
        <f t="shared" si="5"/>
        <v>8.2220999999999993</v>
      </c>
      <c r="D92" s="1">
        <f t="shared" si="3"/>
        <v>29.958300000000001</v>
      </c>
      <c r="E92" s="1">
        <f t="shared" si="6"/>
        <v>26.176100000000002</v>
      </c>
    </row>
    <row r="93" spans="1:11" x14ac:dyDescent="0.3">
      <c r="A93" s="1">
        <f t="shared" si="4"/>
        <v>92</v>
      </c>
      <c r="B93" s="1">
        <v>3762.2993999999999</v>
      </c>
      <c r="C93" s="1">
        <f t="shared" si="5"/>
        <v>8.2327999999999992</v>
      </c>
      <c r="D93" s="1">
        <f t="shared" si="3"/>
        <v>30.073</v>
      </c>
      <c r="E93" s="1">
        <f t="shared" si="6"/>
        <v>26.256399999999999</v>
      </c>
    </row>
    <row r="94" spans="1:11" x14ac:dyDescent="0.3">
      <c r="A94" s="1">
        <f t="shared" si="4"/>
        <v>93</v>
      </c>
      <c r="B94" s="1">
        <v>3802.5493999999999</v>
      </c>
      <c r="C94" s="1">
        <f t="shared" si="5"/>
        <v>8.2433999999999994</v>
      </c>
      <c r="D94" s="1">
        <f t="shared" si="3"/>
        <v>30.25</v>
      </c>
      <c r="E94" s="1">
        <f t="shared" si="6"/>
        <v>26.335899999999999</v>
      </c>
    </row>
    <row r="95" spans="1:11" x14ac:dyDescent="0.3">
      <c r="A95" s="1">
        <f t="shared" si="4"/>
        <v>94</v>
      </c>
      <c r="B95" s="1">
        <v>3843.0075999999999</v>
      </c>
      <c r="C95" s="1">
        <f t="shared" si="5"/>
        <v>8.2539999999999996</v>
      </c>
      <c r="D95" s="1">
        <f t="shared" si="3"/>
        <v>30.458200000000001</v>
      </c>
      <c r="E95" s="1">
        <f t="shared" si="6"/>
        <v>26.415400000000002</v>
      </c>
    </row>
    <row r="96" spans="1:11" x14ac:dyDescent="0.3">
      <c r="A96" s="1">
        <f t="shared" si="4"/>
        <v>95</v>
      </c>
      <c r="B96" s="1">
        <v>3883.6534000000001</v>
      </c>
      <c r="C96" s="1">
        <f t="shared" si="5"/>
        <v>8.2645</v>
      </c>
      <c r="D96" s="1">
        <f>ROUND((B96-B95-10),4)</f>
        <v>30.645800000000001</v>
      </c>
      <c r="E96" s="1">
        <f t="shared" si="6"/>
        <v>26.4941</v>
      </c>
    </row>
    <row r="97" spans="1:5" x14ac:dyDescent="0.3">
      <c r="A97" s="1">
        <f t="shared" si="4"/>
        <v>96</v>
      </c>
      <c r="B97" s="1">
        <v>3924.4346</v>
      </c>
      <c r="C97" s="1">
        <f t="shared" si="5"/>
        <v>8.2750000000000004</v>
      </c>
      <c r="D97" s="1">
        <f t="shared" si="3"/>
        <v>30.781199999999998</v>
      </c>
      <c r="E97" s="1">
        <f t="shared" si="6"/>
        <v>26.572900000000001</v>
      </c>
    </row>
    <row r="98" spans="1:5" x14ac:dyDescent="0.3">
      <c r="A98" s="1">
        <f t="shared" si="4"/>
        <v>97</v>
      </c>
      <c r="B98" s="1">
        <v>3965.2575999999999</v>
      </c>
      <c r="C98" s="1">
        <f t="shared" si="5"/>
        <v>8.2852999999999994</v>
      </c>
      <c r="D98" s="1">
        <f t="shared" si="3"/>
        <v>30.823</v>
      </c>
      <c r="E98" s="1">
        <f t="shared" si="6"/>
        <v>26.650099999999998</v>
      </c>
    </row>
    <row r="99" spans="1:5" x14ac:dyDescent="0.3">
      <c r="A99" s="1">
        <f t="shared" si="4"/>
        <v>98</v>
      </c>
      <c r="B99" s="1">
        <v>4006.1014</v>
      </c>
      <c r="C99" s="1">
        <f t="shared" si="5"/>
        <v>8.2956000000000003</v>
      </c>
      <c r="D99" s="1">
        <f t="shared" ref="D99:D120" si="7">ROUND((B99-B98-10),4)</f>
        <v>30.843800000000002</v>
      </c>
      <c r="E99" s="1">
        <f t="shared" si="6"/>
        <v>26.727399999999999</v>
      </c>
    </row>
    <row r="100" spans="1:5" x14ac:dyDescent="0.3">
      <c r="A100" s="1">
        <f t="shared" si="4"/>
        <v>99</v>
      </c>
      <c r="B100" s="1">
        <v>4046.9139</v>
      </c>
      <c r="C100" s="1">
        <f t="shared" si="5"/>
        <v>8.3056999999999999</v>
      </c>
      <c r="D100" s="1">
        <f t="shared" si="7"/>
        <v>30.8125</v>
      </c>
      <c r="E100" s="1">
        <f t="shared" si="6"/>
        <v>26.803100000000001</v>
      </c>
    </row>
    <row r="101" spans="1:5" ht="15" x14ac:dyDescent="0.3">
      <c r="A101" s="1">
        <f t="shared" si="4"/>
        <v>100</v>
      </c>
      <c r="B101" s="8">
        <v>4087.6639</v>
      </c>
      <c r="C101" s="1">
        <f t="shared" si="5"/>
        <v>8.3156999999999996</v>
      </c>
      <c r="D101" s="1">
        <f t="shared" si="7"/>
        <v>30.75</v>
      </c>
      <c r="E101" s="1">
        <f t="shared" si="6"/>
        <v>26.8782</v>
      </c>
    </row>
    <row r="102" spans="1:5" ht="15" x14ac:dyDescent="0.3">
      <c r="A102" s="1">
        <f t="shared" si="4"/>
        <v>101</v>
      </c>
      <c r="B102" s="8">
        <v>4128.3200999999999</v>
      </c>
      <c r="C102" s="1">
        <f t="shared" si="5"/>
        <v>8.3255999999999997</v>
      </c>
      <c r="D102" s="1">
        <f t="shared" si="7"/>
        <v>30.656199999999998</v>
      </c>
      <c r="E102" s="1">
        <f t="shared" si="6"/>
        <v>26.952400000000001</v>
      </c>
    </row>
    <row r="103" spans="1:5" ht="15" x14ac:dyDescent="0.3">
      <c r="A103" s="1">
        <f t="shared" ref="A103:A124" si="8">A102+1</f>
        <v>102</v>
      </c>
      <c r="B103" s="8">
        <v>4168.8306000000002</v>
      </c>
      <c r="C103" s="1">
        <f t="shared" si="5"/>
        <v>8.3353999999999999</v>
      </c>
      <c r="D103" s="1">
        <f t="shared" si="7"/>
        <v>30.5105</v>
      </c>
      <c r="E103" s="1">
        <f t="shared" si="6"/>
        <v>27.0259</v>
      </c>
    </row>
    <row r="104" spans="1:5" ht="15" x14ac:dyDescent="0.3">
      <c r="A104" s="1">
        <f t="shared" si="8"/>
        <v>103</v>
      </c>
      <c r="B104" s="8">
        <v>4209.1950999999999</v>
      </c>
      <c r="C104" s="1">
        <f t="shared" si="5"/>
        <v>8.3450000000000006</v>
      </c>
      <c r="D104" s="1">
        <f t="shared" si="7"/>
        <v>30.3645</v>
      </c>
      <c r="E104" s="1">
        <f t="shared" si="6"/>
        <v>27.097899999999999</v>
      </c>
    </row>
    <row r="105" spans="1:5" ht="15" x14ac:dyDescent="0.3">
      <c r="A105" s="1">
        <f t="shared" si="8"/>
        <v>104</v>
      </c>
      <c r="B105" s="8">
        <v>4249.3825999999999</v>
      </c>
      <c r="C105" s="1">
        <f t="shared" si="5"/>
        <v>8.3544999999999998</v>
      </c>
      <c r="D105" s="1">
        <f t="shared" si="7"/>
        <v>30.1875</v>
      </c>
      <c r="E105" s="1">
        <f t="shared" si="6"/>
        <v>27.1692</v>
      </c>
    </row>
    <row r="106" spans="1:5" ht="15" x14ac:dyDescent="0.3">
      <c r="A106" s="1">
        <f t="shared" si="8"/>
        <v>105</v>
      </c>
      <c r="B106" s="8">
        <v>4289.3618999999999</v>
      </c>
      <c r="C106" s="1">
        <f t="shared" si="5"/>
        <v>8.3638999999999992</v>
      </c>
      <c r="D106" s="1">
        <f t="shared" si="7"/>
        <v>29.979299999999999</v>
      </c>
      <c r="E106" s="1">
        <f t="shared" si="6"/>
        <v>27.239699999999999</v>
      </c>
    </row>
    <row r="107" spans="1:5" ht="15" x14ac:dyDescent="0.3">
      <c r="A107" s="1">
        <f t="shared" si="8"/>
        <v>106</v>
      </c>
      <c r="B107" s="8">
        <v>4329.1849000000002</v>
      </c>
      <c r="C107" s="1">
        <f t="shared" si="5"/>
        <v>8.3731000000000009</v>
      </c>
      <c r="D107" s="1">
        <f t="shared" si="7"/>
        <v>29.823</v>
      </c>
      <c r="E107" s="1">
        <f t="shared" si="6"/>
        <v>27.308700000000002</v>
      </c>
    </row>
    <row r="108" spans="1:5" ht="15" x14ac:dyDescent="0.3">
      <c r="A108" s="1">
        <f t="shared" si="8"/>
        <v>107</v>
      </c>
      <c r="B108" s="8">
        <v>4368.8724000000002</v>
      </c>
      <c r="C108" s="1">
        <f t="shared" si="5"/>
        <v>8.3823000000000008</v>
      </c>
      <c r="D108" s="1">
        <f t="shared" si="7"/>
        <v>29.6875</v>
      </c>
      <c r="E108" s="1">
        <f t="shared" si="6"/>
        <v>27.377700000000001</v>
      </c>
    </row>
    <row r="109" spans="1:5" ht="15" x14ac:dyDescent="0.3">
      <c r="A109" s="1">
        <f t="shared" si="8"/>
        <v>108</v>
      </c>
      <c r="B109" s="8">
        <v>4408.4453999999996</v>
      </c>
      <c r="C109" s="1">
        <f t="shared" si="5"/>
        <v>8.3912999999999993</v>
      </c>
      <c r="D109" s="1">
        <f t="shared" si="7"/>
        <v>29.573</v>
      </c>
      <c r="E109" s="1">
        <f t="shared" si="6"/>
        <v>27.4452</v>
      </c>
    </row>
    <row r="110" spans="1:5" ht="15" x14ac:dyDescent="0.3">
      <c r="A110" s="1">
        <f t="shared" si="8"/>
        <v>109</v>
      </c>
      <c r="B110" s="8">
        <v>4447.9141</v>
      </c>
      <c r="C110" s="1">
        <f t="shared" si="5"/>
        <v>8.4001999999999999</v>
      </c>
      <c r="D110" s="1">
        <f t="shared" si="7"/>
        <v>29.468699999999998</v>
      </c>
      <c r="E110" s="1">
        <f t="shared" si="6"/>
        <v>27.511900000000001</v>
      </c>
    </row>
    <row r="111" spans="1:5" ht="15" x14ac:dyDescent="0.3">
      <c r="A111" s="1">
        <f t="shared" si="8"/>
        <v>110</v>
      </c>
      <c r="B111" s="8">
        <v>4487.6016</v>
      </c>
      <c r="C111" s="1">
        <f t="shared" si="5"/>
        <v>8.4091000000000005</v>
      </c>
      <c r="D111" s="1">
        <f t="shared" si="7"/>
        <v>29.6875</v>
      </c>
      <c r="E111" s="1">
        <f t="shared" si="6"/>
        <v>27.578700000000001</v>
      </c>
    </row>
    <row r="112" spans="1:5" ht="15" x14ac:dyDescent="0.3">
      <c r="A112" s="1">
        <f t="shared" si="8"/>
        <v>111</v>
      </c>
      <c r="B112" s="8">
        <v>4527.5807999999997</v>
      </c>
      <c r="C112" s="1">
        <f t="shared" si="5"/>
        <v>8.4178999999999995</v>
      </c>
      <c r="D112" s="1">
        <f t="shared" si="7"/>
        <v>29.979199999999999</v>
      </c>
      <c r="E112" s="1">
        <f t="shared" si="6"/>
        <v>27.6447</v>
      </c>
    </row>
    <row r="113" spans="1:5" ht="15" x14ac:dyDescent="0.3">
      <c r="A113" s="1">
        <f t="shared" si="8"/>
        <v>112</v>
      </c>
      <c r="B113" s="8">
        <v>4567.6850999999997</v>
      </c>
      <c r="C113" s="1">
        <f t="shared" si="5"/>
        <v>8.4268000000000001</v>
      </c>
      <c r="D113" s="1">
        <f t="shared" si="7"/>
        <v>30.104299999999999</v>
      </c>
      <c r="E113" s="1">
        <f t="shared" si="6"/>
        <v>27.711400000000001</v>
      </c>
    </row>
    <row r="114" spans="1:5" ht="15" x14ac:dyDescent="0.3">
      <c r="A114" s="1">
        <f t="shared" si="8"/>
        <v>113</v>
      </c>
      <c r="B114" s="8">
        <v>4607.8725999999997</v>
      </c>
      <c r="C114" s="1">
        <f t="shared" si="5"/>
        <v>8.4354999999999993</v>
      </c>
      <c r="D114" s="1">
        <f t="shared" si="7"/>
        <v>30.1875</v>
      </c>
      <c r="E114" s="1">
        <f t="shared" si="6"/>
        <v>27.776700000000002</v>
      </c>
    </row>
    <row r="115" spans="1:5" ht="15" x14ac:dyDescent="0.3">
      <c r="A115" s="1">
        <f t="shared" si="8"/>
        <v>114</v>
      </c>
      <c r="B115" s="8">
        <v>4648.0600999999997</v>
      </c>
      <c r="C115" s="1">
        <f t="shared" ref="C115:C120" si="9">ROUND(LN(B115),4)</f>
        <v>8.4442000000000004</v>
      </c>
      <c r="D115" s="1">
        <f t="shared" si="7"/>
        <v>30.1875</v>
      </c>
      <c r="E115" s="1">
        <f t="shared" si="6"/>
        <v>27.841899999999999</v>
      </c>
    </row>
    <row r="116" spans="1:5" ht="15" x14ac:dyDescent="0.3">
      <c r="A116" s="1">
        <f t="shared" si="8"/>
        <v>115</v>
      </c>
      <c r="B116" s="8">
        <v>4688.1850999999997</v>
      </c>
      <c r="C116" s="1">
        <f t="shared" si="9"/>
        <v>8.4527999999999999</v>
      </c>
      <c r="D116" s="1">
        <f t="shared" si="7"/>
        <v>30.125</v>
      </c>
      <c r="E116" s="1">
        <f t="shared" si="6"/>
        <v>27.906500000000001</v>
      </c>
    </row>
    <row r="117" spans="1:5" ht="15" x14ac:dyDescent="0.3">
      <c r="A117" s="1">
        <f t="shared" si="8"/>
        <v>116</v>
      </c>
      <c r="B117" s="8">
        <v>4728.1643000000004</v>
      </c>
      <c r="C117" s="1">
        <f t="shared" si="9"/>
        <v>8.4612999999999996</v>
      </c>
      <c r="D117" s="1">
        <f t="shared" si="7"/>
        <v>29.979199999999999</v>
      </c>
      <c r="E117" s="1">
        <f t="shared" si="6"/>
        <v>27.970199999999998</v>
      </c>
    </row>
    <row r="118" spans="1:5" ht="15" x14ac:dyDescent="0.3">
      <c r="A118" s="1">
        <f t="shared" si="8"/>
        <v>117</v>
      </c>
      <c r="B118" s="8">
        <v>4768.0497999999998</v>
      </c>
      <c r="C118" s="1">
        <f t="shared" si="9"/>
        <v>8.4696999999999996</v>
      </c>
      <c r="D118" s="1">
        <f t="shared" si="7"/>
        <v>29.8855</v>
      </c>
      <c r="E118" s="1">
        <f t="shared" si="6"/>
        <v>28.033200000000001</v>
      </c>
    </row>
    <row r="119" spans="1:5" ht="15" x14ac:dyDescent="0.3">
      <c r="A119" s="1">
        <f t="shared" si="8"/>
        <v>118</v>
      </c>
      <c r="B119" s="8">
        <v>4807.8206</v>
      </c>
      <c r="C119" s="1">
        <f t="shared" si="9"/>
        <v>8.4779999999999998</v>
      </c>
      <c r="D119" s="1">
        <f t="shared" si="7"/>
        <v>29.770800000000001</v>
      </c>
      <c r="E119" s="1">
        <f t="shared" si="6"/>
        <v>28.095500000000001</v>
      </c>
    </row>
    <row r="120" spans="1:5" ht="15" x14ac:dyDescent="0.3">
      <c r="A120" s="1">
        <f t="shared" si="8"/>
        <v>119</v>
      </c>
      <c r="B120" s="8">
        <v>4847.4663</v>
      </c>
      <c r="C120" s="1">
        <f t="shared" si="9"/>
        <v>8.4862000000000002</v>
      </c>
      <c r="D120" s="1">
        <f t="shared" si="7"/>
        <v>29.645700000000001</v>
      </c>
      <c r="E120" s="1">
        <f t="shared" si="6"/>
        <v>28.157</v>
      </c>
    </row>
    <row r="121" spans="1:5" x14ac:dyDescent="0.3">
      <c r="A121" s="1">
        <f t="shared" si="8"/>
        <v>120</v>
      </c>
    </row>
    <row r="122" spans="1:5" x14ac:dyDescent="0.3">
      <c r="A122" s="1">
        <f t="shared" si="8"/>
        <v>121</v>
      </c>
    </row>
    <row r="123" spans="1:5" x14ac:dyDescent="0.3">
      <c r="A123" s="1">
        <f t="shared" si="8"/>
        <v>122</v>
      </c>
    </row>
    <row r="124" spans="1:5" x14ac:dyDescent="0.3">
      <c r="A124" s="1">
        <f t="shared" si="8"/>
        <v>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Sahu</dc:creator>
  <cp:lastModifiedBy>Khushi Chandak</cp:lastModifiedBy>
  <dcterms:created xsi:type="dcterms:W3CDTF">2026-03-25T17:12:45Z</dcterms:created>
  <dcterms:modified xsi:type="dcterms:W3CDTF">2026-04-14T19:16:56Z</dcterms:modified>
</cp:coreProperties>
</file>