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filterPrivacy="1" codeName="ThisWorkbook"/>
  <xr:revisionPtr revIDLastSave="0" documentId="13_ncr:1_{270324AE-6A73-4694-8860-0A2BCE50E674}" xr6:coauthVersionLast="47" xr6:coauthVersionMax="47" xr10:uidLastSave="{00000000-0000-0000-0000-000000000000}"/>
  <bookViews>
    <workbookView xWindow="-108" yWindow="-108" windowWidth="23256" windowHeight="12456" tabRatio="751" xr2:uid="{00000000-000D-0000-FFFF-FFFF00000000}"/>
  </bookViews>
  <sheets>
    <sheet name="Product Analysis" sheetId="7" r:id="rId1"/>
    <sheet name="Technology &amp; Differentiator " sheetId="17" r:id="rId2"/>
    <sheet name="Market Positioning &amp; Use Cases" sheetId="18" r:id="rId3"/>
    <sheet name="SWOT Analysis" sheetId="22" r:id="rId4"/>
    <sheet name="Conclusion" sheetId="24" r:id="rId5"/>
    <sheet name="References" sheetId="19" r:id="rId6"/>
  </sheets>
  <definedNames>
    <definedName name="Assignedto">#REF!</definedName>
    <definedName name="DueToday">'Product Analysis'!#REF!</definedName>
    <definedName name="Grid" localSheetId="0">ToDoList[[#All],[Features]:[FarEye]]</definedName>
    <definedName name="_xlnm.Print_Titles" localSheetId="0">'Product Analysis'!$3:$6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 i="7" l="1"/>
  <c r="C8" i="7"/>
  <c r="C9" i="7"/>
  <c r="C10" i="7"/>
  <c r="C11" i="7"/>
  <c r="C12" i="7"/>
</calcChain>
</file>

<file path=xl/sharedStrings.xml><?xml version="1.0" encoding="utf-8"?>
<sst xmlns="http://schemas.openxmlformats.org/spreadsheetml/2006/main" count="224" uniqueCount="173">
  <si>
    <t>Mow grass</t>
  </si>
  <si>
    <t>High</t>
  </si>
  <si>
    <t>Dad</t>
  </si>
  <si>
    <t>Clean room</t>
  </si>
  <si>
    <t>Medium</t>
  </si>
  <si>
    <t>Kayla</t>
  </si>
  <si>
    <t>Low</t>
  </si>
  <si>
    <t>Jacob</t>
  </si>
  <si>
    <t>Petja</t>
  </si>
  <si>
    <t>Kristi</t>
  </si>
  <si>
    <t>Organize pantry</t>
  </si>
  <si>
    <t xml:space="preserve"> </t>
  </si>
  <si>
    <t>Product Analysis</t>
  </si>
  <si>
    <t>Mojro vs. Competitors</t>
  </si>
  <si>
    <t>Mojro</t>
  </si>
  <si>
    <t>Locus</t>
  </si>
  <si>
    <t>FarEye</t>
  </si>
  <si>
    <t>LogiNext</t>
  </si>
  <si>
    <t>Real-time Tracking</t>
  </si>
  <si>
    <t>Features</t>
  </si>
  <si>
    <t>Route Planning &amp; Optimization</t>
  </si>
  <si>
    <t>AI/ML</t>
  </si>
  <si>
    <t>Automation &amp; Scheduling</t>
  </si>
  <si>
    <t>Dashboard Analysis</t>
  </si>
  <si>
    <t>Technology Stack &amp; Differentiators</t>
  </si>
  <si>
    <t>Customer &amp; Delivery Communication</t>
  </si>
  <si>
    <t>Integration &amp; System Support</t>
  </si>
  <si>
    <t>AI &amp; ML Usage</t>
  </si>
  <si>
    <t>APIs &amp; Integrations</t>
  </si>
  <si>
    <t>Security &amp; Governance</t>
  </si>
  <si>
    <t>Primary Industries Served</t>
  </si>
  <si>
    <t>Real-World Use Cases</t>
  </si>
  <si>
    <t>E-commerce, Retail, Grocery, Courier &amp; Express, Pharmaceuticals, Big &amp; Bulky delivery</t>
  </si>
  <si>
    <t>Retail, E-commerce, Courier services, Food &amp; Beverage, Transportation &amp; Distribution</t>
  </si>
  <si>
    <t>Customer Segment Focus</t>
  </si>
  <si>
    <t>Key Clients (Examples)</t>
  </si>
  <si>
    <t>KFC, Starbucks, McDonald’s, UPS, Singapore Post, Decathlon</t>
  </si>
  <si>
    <t>Pricing Model</t>
  </si>
  <si>
    <t>Core Market Positioning</t>
  </si>
  <si>
    <t>AI-driven logistics optimization platform focused on deep constraint planning and cost efficiency</t>
  </si>
  <si>
    <t>End-to-end AI logistics orchestration platform covering first, mid and last mile</t>
  </si>
  <si>
    <t>Delivery experience and predictive last-mile orchestration platform</t>
  </si>
  <si>
    <t>AI-powered delivery automation and real-time logistics visibility platform</t>
  </si>
  <si>
    <t>Marketing Positioning &amp; Use Cases</t>
  </si>
  <si>
    <t>Strengths</t>
  </si>
  <si>
    <t>Weaknesses</t>
  </si>
  <si>
    <t>Opportunities</t>
  </si>
  <si>
    <t>Threats</t>
  </si>
  <si>
    <t>SWOT Analysis</t>
  </si>
  <si>
    <t xml:space="preserve">   </t>
  </si>
  <si>
    <t>• Lower global brand recognition compared to Locus or FarEye 
• Fewer publicly visible global enterprise case studies
• May require higher implementation effort for deeply customized setups
• Ecosystem and partner integrations less highlighted than competitors</t>
  </si>
  <si>
    <t>• Strong global enterprise presence across multiple countries 
• API-first modular architecture enabling deep integrations 
• Advanced AI-driven dispatch and route optimization 
• End-to-end logistics orchestration across first, mid and last mile 
• Proven deployments with large retail and FMCG brands</t>
  </si>
  <si>
    <t>• Premium enterprise pricing structure 
• Complex implementation for smaller organizations 
• May be over-featured for mid-size businesses 
• Custom integrations can increase onboarding time</t>
  </si>
  <si>
    <t>• Expansion into emerging logistics markets 
• Growth in hybrid fleet and multi-mile optimization demand 
• Increasing adoption of AI-driven supply chain orchestration 
• Expansion into upstream planning and inventory-linked logistics</t>
  </si>
  <si>
    <t>• Increasing competition from AI-focused niche logistics startups 
• Pricing pressure from mid-market SaaS providers 
• Rapid technological parity in AI routing solutions 
• Large enterprises building in-house optimization tools</t>
  </si>
  <si>
    <t>• Strong competition from well-funded players like Locus and FarEye 
• Rapid technology evolution in AI logistics space 
• Price-based competition in SaaS logistics market • Large enterprises preferring established global brands 
• Entry of global tech giants into supply chain AI solutions</t>
  </si>
  <si>
    <t>• Strong AI + Operations Research based optimization engine 
• Advanced constraint modelling and digital twin planning 
• Smart ETA and predictive routing capabilities 
• Cloud-native scalable microservices architecture
• Suitable for complex, rule-heavy logistics environments (CPG, Dairy, CEP)</t>
  </si>
  <si>
    <t>• Strong last-mile delivery orchestration platform 
• Focus on customer experience and branded tracking tools 
• Predictive routing with dynamic rescheduling 
• Flexible reverse logistics and returns management 
• Strong enterprise SaaS positioning</t>
  </si>
  <si>
    <t>• Heavy focus on last-mile segment 
• Less emphasis on deep optimization modelling 
• Competitive customer-experience space 
• Limited positioning in full supply chain planning</t>
  </si>
  <si>
    <t>• Growth in e-commerce and same-day delivery 
• Expansion into reverse logistics and returns optimization 
• Increasing demand for delivery visibility and engagement 
• Sustainability and EV routing integration</t>
  </si>
  <si>
    <t>• Direct competition from Locus and LogiNext 
• Market saturation in last-mile SaaS tools 
• Pricing pressure in high-volume delivery markets 
• Rapid innovation reducing differentiation</t>
  </si>
  <si>
    <t>• Growing competition from specialized AI logistics startups 
• Commoditization of route planning technology 
• Entry of large global SaaS providers into logistics tech 
• Price pressure in enterprise SaaS negotiations</t>
  </si>
  <si>
    <t>• Expansion in retail and food delivery segments 
• Growing demand for unified logistics visibility platforms 
• Increasing global adoption of AI-powered route optimization 
• Integration with EV fleets and sustainable transport models</t>
  </si>
  <si>
    <t>• Less emphasis on deep constraint modelling compared to Mojro 
• Similar positioning to competitors in AI routing space 
• Full-suite implementation may require significant integration effort</t>
  </si>
  <si>
    <t>• Broad delivery automation suite covering planning to execution 
• Strong real-time tracking and ETA optimization capabilities 
• Established partnerships in retail and food sectors 
• Scalable cloud-based deployment model 
• Strong operational dashboards and analytics</t>
  </si>
  <si>
    <t>• Growing demand for AI-driven supply chain optimization 
• Expansion into international enterprise markets
• Increasing adoption of real-time logistics visibility tools 
• Rising need for cost optimization in FMCG and retail distribution
• Integration with EV routing and sustainable logistics solutions</t>
  </si>
  <si>
    <t>Mid-to-large enterprises with complex, high-volume delivery networks</t>
  </si>
  <si>
    <t>Large global enterprises managing multi-country logistics operations</t>
  </si>
  <si>
    <t>Enterprises prioritizing last-mile delivery experience and customer visibility</t>
  </si>
  <si>
    <t>Enterprises seeking delivery automation, route optimization and operational visibility</t>
  </si>
  <si>
    <t>Unilever, Godrej, Lactalis, Nobel Hygiene, major dairy brands and parcel operators</t>
  </si>
  <si>
    <t>Amway, DHL, Walmart Mexico and international carrier brands</t>
  </si>
  <si>
    <t>Enterprise SaaS pricing customized based on delivery volume, modules and operational complexity</t>
  </si>
  <si>
    <t>Custom enterprise pricing based on scale, geography and integration scope</t>
  </si>
  <si>
    <t>Custom SaaS pricing based on delivery volume and orchestration requirements</t>
  </si>
  <si>
    <t>Modular enterprise pricing based on deployment size and feature selection</t>
  </si>
  <si>
    <t>Core Principle / What it does</t>
  </si>
  <si>
    <t>Control-tower level visibility into deliveries and fleet movement with live monitoring and updates.</t>
  </si>
  <si>
    <t>End-to-end tracking with GPS updates, alerts and exception management across stakeholders.</t>
  </si>
  <si>
    <r>
      <rPr>
        <b/>
        <sz val="26"/>
        <color theme="1" tint="0.14996795556505021"/>
        <rFont val="Calibri"/>
        <family val="2"/>
      </rPr>
      <t xml:space="preserve">Conclusion: </t>
    </r>
    <r>
      <rPr>
        <b/>
        <sz val="14"/>
        <color theme="1" tint="0.14996795556505021"/>
        <rFont val="Calibri"/>
        <family val="2"/>
      </rPr>
      <t xml:space="preserve">
</t>
    </r>
    <r>
      <rPr>
        <sz val="14"/>
        <color theme="1" tint="0.14996795556505021"/>
        <rFont val="Calibri"/>
        <family val="2"/>
      </rPr>
      <t>The competitive analysis indicates that Mojro operates in a highly competitive AI-driven logistics technology landscape alongside strong players such as Locus, FarEye, and LogiNext. While competitors emphasize global scale (Locus), customer delivery experience (FarEye), and execution automation (LogiNext), Mojro differentiates itself through deep optimization capabilities built on AI, operations research, and constraint-based modelling.
Mojro’s core strength lies in its advanced route optimization engine, digital twin simulations, and trade-off modelling that allow enterprises to handle complex, rule-heavy logistics environments. This makes Mojro particularly well-suited for FMCG, dairy distribution, and high-volume retail supply chains where cost efficiency and planning precision are critical.
However, the competitive landscape is evolving rapidly, with increasing commoditization of route optimization and growing demand for integrated, end-to-end supply chain orchestration. To sustain long-term competitive advantage, Mojro must strengthen its market positioning beyond optimization depth alone.</t>
    </r>
  </si>
  <si>
    <r>
      <rPr>
        <b/>
        <sz val="24"/>
        <color theme="1" tint="0.14996795556505021"/>
        <rFont val="Calibri"/>
        <family val="2"/>
      </rPr>
      <t xml:space="preserve">Strategic Recommendations for Mojro : </t>
    </r>
    <r>
      <rPr>
        <b/>
        <sz val="16"/>
        <color theme="1" tint="0.14996795556505021"/>
        <rFont val="Calibri"/>
        <family val="2"/>
      </rPr>
      <t xml:space="preserve">
</t>
    </r>
    <r>
      <rPr>
        <sz val="11"/>
        <color theme="1" tint="0.14996795556505021"/>
        <rFont val="Calibri"/>
        <family val="2"/>
      </rPr>
      <t xml:space="preserve">
</t>
    </r>
    <r>
      <rPr>
        <b/>
        <sz val="12"/>
        <color theme="1" tint="0.14996795556505021"/>
        <rFont val="Calibri"/>
        <family val="2"/>
      </rPr>
      <t>1.Strengthen Global Brand Positioning :</t>
    </r>
    <r>
      <rPr>
        <sz val="11"/>
        <color theme="1" tint="0.14996795556505021"/>
        <rFont val="Calibri"/>
        <family val="2"/>
      </rPr>
      <t xml:space="preserve"> Mojro should increase visibility through global case studies, industry partnerships, and thought leadership in AI-based supply chain optimization. Expanding presence in international enterprise markets will improve competitive standing against globally recognized players like Locus and FarEye.
</t>
    </r>
    <r>
      <rPr>
        <b/>
        <sz val="12"/>
        <color theme="1" tint="0.14996795556505021"/>
        <rFont val="Calibri"/>
        <family val="2"/>
      </rPr>
      <t>2.Expand End-to-End Orchestration Capabilities :</t>
    </r>
    <r>
      <rPr>
        <sz val="11"/>
        <color theme="1" tint="0.14996795556505021"/>
        <rFont val="Calibri"/>
        <family val="2"/>
      </rPr>
      <t xml:space="preserve"> While Mojro excels in optimization, expanding deeper into execution orchestration (first-mile to last-mile visibility) could enhance its competitiveness. Adding stronger control tower and multi-stakeholder collaboration tools would broaden appeal.
</t>
    </r>
    <r>
      <rPr>
        <b/>
        <sz val="12"/>
        <color theme="1" tint="0.14996795556505021"/>
        <rFont val="Calibri"/>
        <family val="2"/>
      </rPr>
      <t>3.Enhance Customer-Facing Delivery Experience Features :</t>
    </r>
    <r>
      <rPr>
        <sz val="11"/>
        <color theme="1" tint="0.14996795556505021"/>
        <rFont val="Calibri"/>
        <family val="2"/>
      </rPr>
      <t xml:space="preserve"> Competitors like FarEye differentiate strongly through branded tracking and customer engagement. Mojro could introduce enhanced delivery communication tools, customizable customer notifications, and experience-driven dashboards to strengthen enterprise adoption.
</t>
    </r>
    <r>
      <rPr>
        <b/>
        <sz val="12"/>
        <color theme="1" tint="0.14996795556505021"/>
        <rFont val="Calibri"/>
        <family val="2"/>
      </rPr>
      <t>4.Build Industry-Specific Vertical Solutions :</t>
    </r>
    <r>
      <rPr>
        <sz val="11"/>
        <color theme="1" tint="0.14996795556505021"/>
        <rFont val="Calibri"/>
        <family val="2"/>
      </rPr>
      <t xml:space="preserve"> Mojro can further differentiate by creating tailored solutions for industries such as dairy, FMCG, pharmaceuticals, and cold-chain logistics. Packaging constraint-based optimization into industry-ready modules can accelerate adoption.
</t>
    </r>
    <r>
      <rPr>
        <b/>
        <sz val="12"/>
        <color theme="1" tint="0.14996795556505021"/>
        <rFont val="Calibri"/>
        <family val="2"/>
      </rPr>
      <t>5.Invest in Sustainability &amp; EV Optimization :</t>
    </r>
    <r>
      <rPr>
        <sz val="11"/>
        <color theme="1" tint="0.14996795556505021"/>
        <rFont val="Calibri"/>
        <family val="2"/>
      </rPr>
      <t xml:space="preserve"> With increasing regulatory and ESG focus, Mojro can lead by integrating carbon footprint tracking, EV fleet optimization, and sustainable route planning analytics as part of its core offering.
</t>
    </r>
    <r>
      <rPr>
        <b/>
        <sz val="12"/>
        <color theme="1" tint="0.14996795556505021"/>
        <rFont val="Calibri"/>
        <family val="2"/>
      </rPr>
      <t>6.Develop Strategic Technology Partnerships :</t>
    </r>
    <r>
      <rPr>
        <sz val="11"/>
        <color theme="1" tint="0.14996795556505021"/>
        <rFont val="Calibri"/>
        <family val="2"/>
      </rPr>
      <t xml:space="preserve"> Expanding integrations with ERP, WMS, telematics providers, and global logistics ecosystems will strengthen its enterprise ecosystem and reduce perceived switching risks for large clients.</t>
    </r>
  </si>
  <si>
    <t>https://www.mojro.com/</t>
  </si>
  <si>
    <t>https://www.mojro.com/logistics-and-supply-chain-management-platform</t>
  </si>
  <si>
    <t>https://www.mojro.com/lastmile-delivery-optimization-software</t>
  </si>
  <si>
    <t>https://www.mojro.com/resources</t>
  </si>
  <si>
    <t>https://www.mojro.com/resource-how-do-ai-and-ml-make-mojro-the-best-in-class-logistics-optimization-platform</t>
  </si>
  <si>
    <t>https://locus.sh</t>
  </si>
  <si>
    <t>https://locus.sh/customer-success-stories/</t>
  </si>
  <si>
    <t>https://www.mojro.com/resources#Blog</t>
  </si>
  <si>
    <t>https://locus.sh/dispatch-management-software/</t>
  </si>
  <si>
    <t>https://locus.sh/ecommerce-logistics/</t>
  </si>
  <si>
    <t>https://blog.locus.sh/</t>
  </si>
  <si>
    <t>https://fareye.com/</t>
  </si>
  <si>
    <t>https://fareye.com/platform</t>
  </si>
  <si>
    <t>https://fareye.com/solutions</t>
  </si>
  <si>
    <t>https://fareye.com/resources/blogs</t>
  </si>
  <si>
    <t>https://fareye.com/last-mile-delivery</t>
  </si>
  <si>
    <t>https://www.loginextsolutions.com/ai-powered-dispatch-platform</t>
  </si>
  <si>
    <t>https://www.loginextsolutions.com/platform</t>
  </si>
  <si>
    <t>https://www.loginextsolutions.com/blog</t>
  </si>
  <si>
    <t>https://www.loginextsolutions.com/</t>
  </si>
  <si>
    <t>https://www.loginextsolutions.com/logistics-management-software</t>
  </si>
  <si>
    <t>Reference link of the case study</t>
  </si>
  <si>
    <t>AI-driven last-mile delivery orchestration platform designed to optimize complex delivery processes and enhance delivery experience</t>
  </si>
  <si>
    <t>AI-driven logistics automation platform focused on route planning, dispatch, tracking and execution visibility</t>
  </si>
  <si>
    <t>AI-powered end-to-end logistics  platform covering first, mid and last mile with intelligent routing and fleet optimization</t>
  </si>
  <si>
    <t>AI/ML-driven logistics optimization platform focused on constraint-based route planning, real-time execution and cost efficiency</t>
  </si>
  <si>
    <t>Dynamic last-mile route planning with multi-leg optimization and advanced constraint handling that adapts routes based on demand patterns</t>
  </si>
  <si>
    <t>AI dispatch engine optimizing routes across large networks considering traffic, vehicle capacity and time windows</t>
  </si>
  <si>
    <t>AI-based dynamic routing adjusting based on fleet capacity, delivery windows and external factors like traffic</t>
  </si>
  <si>
    <t>Intelligent route planning with automated adjustments based on traffic, priorities and fleet capacity</t>
  </si>
  <si>
    <t>Real-time order and vehicle tracking supported by live dashboards and driver communication</t>
  </si>
  <si>
    <t>Real-time fleet and delivery visibility with operational and customer-facing dashboards</t>
  </si>
  <si>
    <t>Predictive analytics to optimize planning, anticipate disruptions and model cost-speed trade-offs</t>
  </si>
  <si>
    <t>Machine learning for dispatch strategy, route allocation and fleet utilization optimization</t>
  </si>
  <si>
    <t>AI-powered predictive routing and adaptive delivery scheduling</t>
  </si>
  <si>
    <t>AI-enabled dynamic scheduling and automated dispatch optimization</t>
  </si>
  <si>
    <t>Automates daily planning, resource allocation and dispatch to reduce manual intervention</t>
  </si>
  <si>
    <t>Automated dispatch allocation based on multiple operational constraints</t>
  </si>
  <si>
    <t>Automated scheduling with dynamic rescheduling capabilities</t>
  </si>
  <si>
    <t>Automated dispatch matching orders with optimal vehicles and drivers</t>
  </si>
  <si>
    <t>Performance dashboards and SLA analytics to measure operational efficiency</t>
  </si>
  <si>
    <t>Detailed analytics on fleet utilization and logistics performance</t>
  </si>
  <si>
    <t>Operational analytics focused on improving delivery accuracy</t>
  </si>
  <si>
    <t>Reporting and analytics tools supporting performance optimization</t>
  </si>
  <si>
    <t>Alerts and notifications for internal teams and external customers</t>
  </si>
  <si>
    <t>Internal tracking updates and stakeholder communication support</t>
  </si>
  <si>
    <t>Notification systems and interfaces for internal and customer updates</t>
  </si>
  <si>
    <t>Branded tracking, customer notifications and delivery flexibility options</t>
  </si>
  <si>
    <t>Integrates with carrier systems and enterprise platforms for unified operations</t>
  </si>
  <si>
    <t>Connects with supply chain platforms and third-party tools</t>
  </si>
  <si>
    <t>API-enabled integration with enterprise operational systems</t>
  </si>
  <si>
    <t>Structured enterprise governance framework with controlled access management</t>
  </si>
  <si>
    <t>Secure SaaS cloud model with scalable data protection mechanisms</t>
  </si>
  <si>
    <t>Enterprise cloud security with configurable access and governance controls</t>
  </si>
  <si>
    <t>Strong API ecosystem integrating order systems, driver apps and enterprise tools</t>
  </si>
  <si>
    <t>Machine learning for automated dispatch, adaptive routing and multi-variable optimization</t>
  </si>
  <si>
    <t>AI-driven routing, dynamic rescheduling, capacity prediction and performance optimization</t>
  </si>
  <si>
    <t>Differentiator</t>
  </si>
  <si>
    <t>Deep constraint modelling + Digital Twin simulation + Operations Research optimization</t>
  </si>
  <si>
    <t>Execution-focused delivery automation with strong retail &amp; food network integrations</t>
  </si>
  <si>
    <t>Enterprise-grade security with role-based access and compliance</t>
  </si>
  <si>
    <t>Unilever, Nestle, Blue Dart, Bukalapak and other global retail/logistics brands</t>
  </si>
  <si>
    <t>Linkedin</t>
  </si>
  <si>
    <t>https://www.linkedin.com/company/mojro/posts/?feedView=all</t>
  </si>
  <si>
    <t>https://www.linkedin.com/company/locus-sh/</t>
  </si>
  <si>
    <t>https://www.linkedin.com/company/fareye/</t>
  </si>
  <si>
    <t>https://www.linkedin.com/company/loginext-solutions/</t>
  </si>
  <si>
    <t>Languages &amp; Frameworks</t>
  </si>
  <si>
    <t>Cloud &amp; Databases</t>
  </si>
  <si>
    <t>Multi-cloud, Nvidia AI Sovereign Cloud</t>
  </si>
  <si>
    <t>Distributed SaaS Cloud</t>
  </si>
  <si>
    <t>AWS, Azure, Alibaba Cloud, IBM Cloud</t>
  </si>
  <si>
    <t>Python, Java, REST APIs</t>
  </si>
  <si>
    <t>Java, C++, Python, React.js</t>
  </si>
  <si>
    <t>Java, Python, Custom Image Compression Algorithms</t>
  </si>
  <si>
    <t>API-first modular architecture</t>
  </si>
  <si>
    <t>Branded customer delivery experience</t>
  </si>
  <si>
    <t>Consumer Packaged Goods(CPG) &amp; Fast-Moving Consumer Goods(FMCG), Retail, E-commerce, Dairy distribution, Courier &amp; Field logistics</t>
  </si>
  <si>
    <t>Real-time route executionand ,Estimated Time of Arrival (ETA) optimization , third-party carrier integration and Service Level Agreement(SLA) monitoring</t>
  </si>
  <si>
    <t>Predictive delivery windows and branded tracking and flexible rescheduling; returns management</t>
  </si>
  <si>
    <t>Multi-mile logistics orchestration and hybrid fleet optimization and large-scale retail fulfillment</t>
  </si>
  <si>
    <t>Dynamic route optimization for high-volume FMCG , dairy distribution,multi-warehouse planning and cost reduction through smart dispatch</t>
  </si>
  <si>
    <t>Predictive models for dynamic routing, Smart Estimated Time of Arrival(ETA), real-time decisioning, scenario simulation and constraint automation</t>
  </si>
  <si>
    <t>Low-code Business Process Management(BPM) Framework, Java</t>
  </si>
  <si>
    <t>AI-powered route optimization, predictive ETAs and automated dispatch for Service Level Agreement(SLA) adherence</t>
  </si>
  <si>
    <t>APIs and connectors for Enterprise Resource Planning(ERP), Transportation Management System(TMS), Warehouse Management System(WMS) and enterprise systems enabling real-time synchronization</t>
  </si>
  <si>
    <t>API-first integration across TMS, Order Management System(OMS), WMS and enterprise stacks</t>
  </si>
  <si>
    <t>Integrates with Customer Relationship Management(CRM), Enterprise Resource Planning(ERP), carrier APIs and enterprise platforms for unified visibility</t>
  </si>
  <si>
    <t>Retail, FMCG/CPG, E-commerce, Third-Party Logistics(3PL), Manufacturing, Transportation</t>
  </si>
  <si>
    <t>Note: Technology data sourced via analysis of  technical job postings on company LinkedIn profiles and their official website.</t>
  </si>
  <si>
    <t>Integrates with Enterprise Resource Planning(ERP), Transportation Management System(TMS) and Warehouse Management System(WMS) systems for enterprise logistics automation</t>
  </si>
  <si>
    <t>AWS , PostgreSQL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</si>
</sst>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800]dddd\,\ mmmm\ dd\,\ yyyy"/>
    <numFmt numFmtId="165" formatCode="[&lt;=9999999]###\-####;\(###\)\ ###\-####"/>
  </numFmts>
  <fonts count="50" x14ac:knownFonts="1">
    <font>
      <sz val="11"/>
      <color theme="1" tint="0.14996795556505021"/>
      <name val="Franklin Gothic Book"/>
      <family val="2"/>
      <scheme val="minor"/>
    </font>
    <font>
      <sz val="11"/>
      <color theme="1"/>
      <name val="Franklin Gothic Book"/>
      <family val="2"/>
      <scheme val="minor"/>
    </font>
    <font>
      <sz val="20"/>
      <color theme="3" tint="0.24994659260841701"/>
      <name val="Rockwell"/>
      <family val="2"/>
      <scheme val="major"/>
    </font>
    <font>
      <b/>
      <sz val="14"/>
      <color theme="3" tint="0.24994659260841701"/>
      <name val="Rockwell"/>
      <family val="3"/>
      <scheme val="major"/>
    </font>
    <font>
      <sz val="14"/>
      <color theme="3" tint="0.24994659260841701"/>
      <name val="Rockwell"/>
      <family val="3"/>
      <scheme val="major"/>
    </font>
    <font>
      <b/>
      <sz val="14"/>
      <color theme="5"/>
      <name val="Rockwell"/>
      <family val="3"/>
      <scheme val="major"/>
    </font>
    <font>
      <b/>
      <sz val="14"/>
      <color theme="6"/>
      <name val="Rockwell"/>
      <family val="3"/>
      <scheme val="major"/>
    </font>
    <font>
      <b/>
      <sz val="11"/>
      <color theme="1"/>
      <name val="Franklin Gothic Book"/>
      <family val="2"/>
      <scheme val="minor"/>
    </font>
    <font>
      <sz val="11"/>
      <color theme="0"/>
      <name val="Franklin Gothic Book"/>
      <family val="2"/>
      <scheme val="minor"/>
    </font>
    <font>
      <i/>
      <sz val="11"/>
      <color theme="1" tint="0.34998626667073579"/>
      <name val="Franklin Gothic Book"/>
      <family val="2"/>
      <scheme val="minor"/>
    </font>
    <font>
      <u/>
      <sz val="11"/>
      <color theme="6" tint="-0.24994659260841701"/>
      <name val="Franklin Gothic Book"/>
      <family val="2"/>
      <scheme val="minor"/>
    </font>
    <font>
      <sz val="11"/>
      <color theme="4" tint="-0.499984740745262"/>
      <name val="Franklin Gothic Book"/>
      <family val="2"/>
      <scheme val="minor"/>
    </font>
    <font>
      <sz val="48"/>
      <color theme="9" tint="-0.499984740745262"/>
      <name val="Rockwell"/>
      <family val="1"/>
      <scheme val="major"/>
    </font>
    <font>
      <sz val="12"/>
      <color theme="1" tint="0.14996795556505021"/>
      <name val="Rockwell"/>
      <family val="1"/>
      <scheme val="major"/>
    </font>
    <font>
      <sz val="11"/>
      <color theme="3"/>
      <name val="Franklin Gothic Book"/>
      <family val="2"/>
      <scheme val="minor"/>
    </font>
    <font>
      <sz val="12"/>
      <color theme="1" tint="0.14996795556505021"/>
      <name val="Franklin Gothic Book"/>
      <family val="2"/>
      <scheme val="minor"/>
    </font>
    <font>
      <sz val="12"/>
      <color theme="1"/>
      <name val="Rockwell"/>
      <family val="1"/>
      <scheme val="major"/>
    </font>
    <font>
      <b/>
      <sz val="14"/>
      <color theme="1"/>
      <name val="Franklin Gothic Book"/>
      <family val="2"/>
      <scheme val="minor"/>
    </font>
    <font>
      <b/>
      <u/>
      <sz val="14"/>
      <color theme="1"/>
      <name val="Franklin Gothic Book"/>
      <family val="2"/>
      <scheme val="minor"/>
    </font>
    <font>
      <sz val="8"/>
      <name val="Franklin Gothic Book"/>
      <family val="2"/>
      <scheme val="minor"/>
    </font>
    <font>
      <b/>
      <sz val="20"/>
      <color theme="3"/>
      <name val="Rockwell"/>
      <family val="1"/>
      <scheme val="major"/>
    </font>
    <font>
      <sz val="20"/>
      <color theme="3"/>
      <name val="Franklin Gothic Book"/>
      <family val="2"/>
      <scheme val="minor"/>
    </font>
    <font>
      <b/>
      <sz val="14"/>
      <color theme="1" tint="0.14996795556505021"/>
      <name val="Calibri"/>
      <family val="2"/>
    </font>
    <font>
      <b/>
      <sz val="20"/>
      <color theme="3"/>
      <name val="Calibri"/>
      <family val="2"/>
    </font>
    <font>
      <sz val="14"/>
      <color theme="1" tint="0.14996795556505021"/>
      <name val="Franklin Gothic Book"/>
      <family val="2"/>
      <scheme val="minor"/>
    </font>
    <font>
      <sz val="12"/>
      <color theme="1" tint="0.14996795556505021"/>
      <name val="Calibri"/>
      <family val="2"/>
    </font>
    <font>
      <sz val="14"/>
      <color theme="1" tint="0.14996795556505021"/>
      <name val="Calibri"/>
      <family val="2"/>
    </font>
    <font>
      <sz val="11"/>
      <color theme="3"/>
      <name val="Calibri"/>
      <family val="2"/>
    </font>
    <font>
      <sz val="20"/>
      <color theme="3"/>
      <name val="Calibri"/>
      <family val="2"/>
    </font>
    <font>
      <sz val="11"/>
      <color theme="1" tint="0.14996795556505021"/>
      <name val="Calibri"/>
      <family val="2"/>
    </font>
    <font>
      <sz val="11"/>
      <color theme="0"/>
      <name val="Calibri"/>
      <family val="2"/>
    </font>
    <font>
      <sz val="12"/>
      <color theme="1"/>
      <name val="Calibri"/>
      <family val="2"/>
    </font>
    <font>
      <sz val="12"/>
      <color theme="0"/>
      <name val="Calibri"/>
      <family val="2"/>
    </font>
    <font>
      <sz val="20"/>
      <color theme="1" tint="0.14996795556505021"/>
      <name val="Calibri"/>
      <family val="2"/>
    </font>
    <font>
      <b/>
      <sz val="20"/>
      <color theme="1" tint="0.14996795556505021"/>
      <name val="Calibri"/>
      <family val="2"/>
    </font>
    <font>
      <b/>
      <sz val="20"/>
      <color theme="1" tint="0.14996795556505021"/>
      <name val="Rockwell"/>
      <family val="1"/>
      <scheme val="major"/>
    </font>
    <font>
      <b/>
      <sz val="16"/>
      <color theme="1" tint="0.14996795556505021"/>
      <name val="Calibri"/>
      <family val="2"/>
    </font>
    <font>
      <sz val="16"/>
      <color theme="1" tint="0.14996795556505021"/>
      <name val="Franklin Gothic Book"/>
      <family val="2"/>
      <scheme val="minor"/>
    </font>
    <font>
      <b/>
      <sz val="22"/>
      <color theme="1" tint="0.14996795556505021"/>
      <name val="Calibri"/>
      <family val="2"/>
    </font>
    <font>
      <b/>
      <sz val="20"/>
      <color theme="4" tint="-0.499984740745262"/>
      <name val="Rockwell"/>
      <family val="1"/>
      <scheme val="major"/>
    </font>
    <font>
      <b/>
      <sz val="20"/>
      <color theme="1"/>
      <name val="Rockwell"/>
      <family val="1"/>
      <scheme val="major"/>
    </font>
    <font>
      <b/>
      <sz val="24"/>
      <color theme="1" tint="0.14996795556505021"/>
      <name val="Calibri"/>
      <family val="2"/>
    </font>
    <font>
      <b/>
      <sz val="26"/>
      <color theme="1" tint="0.14996795556505021"/>
      <name val="Calibri"/>
      <family val="2"/>
    </font>
    <font>
      <b/>
      <sz val="12"/>
      <color theme="1" tint="0.14996795556505021"/>
      <name val="Calibri"/>
      <family val="2"/>
    </font>
    <font>
      <b/>
      <sz val="36"/>
      <color theme="1" tint="0.14996795556505021"/>
      <name val="Calibri"/>
      <family val="2"/>
    </font>
    <font>
      <u/>
      <sz val="11"/>
      <color theme="1"/>
      <name val="Franklin Gothic Book"/>
      <family val="2"/>
      <scheme val="minor"/>
    </font>
    <font>
      <sz val="12"/>
      <color theme="1"/>
      <name val="Franklin Gothic Book"/>
      <family val="2"/>
      <scheme val="minor"/>
    </font>
    <font>
      <b/>
      <sz val="28"/>
      <color theme="1"/>
      <name val="Calibri"/>
      <family val="2"/>
    </font>
    <font>
      <b/>
      <sz val="28"/>
      <color theme="1" tint="0.14996795556505021"/>
      <name val="Calibri"/>
      <family val="2"/>
    </font>
    <font>
      <u/>
      <sz val="11"/>
      <color theme="1"/>
      <name val="Calibri"/>
      <family val="2"/>
    </font>
  </fonts>
  <fills count="16">
    <fill>
      <patternFill patternType="none"/>
    </fill>
    <fill>
      <patternFill patternType="gray125"/>
    </fill>
    <fill>
      <patternFill patternType="solid">
        <fgColor theme="8" tint="0.79998168889431442"/>
        <bgColor indexed="65"/>
      </patternFill>
    </fill>
    <fill>
      <patternFill patternType="solid">
        <fgColor theme="9" tint="-0.499984740745262"/>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4" tint="0.39997558519241921"/>
        <bgColor indexed="64"/>
      </patternFill>
    </fill>
    <fill>
      <patternFill patternType="solid">
        <fgColor theme="4" tint="-0.499984740745262"/>
        <bgColor indexed="64"/>
      </patternFill>
    </fill>
    <fill>
      <patternFill patternType="solid">
        <fgColor theme="3" tint="0.749992370372631"/>
        <bgColor indexed="64"/>
      </patternFill>
    </fill>
    <fill>
      <patternFill patternType="solid">
        <fgColor theme="3" tint="0.89999084444715716"/>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4" tint="0.59999389629810485"/>
        <bgColor indexed="64"/>
      </patternFill>
    </fill>
  </fills>
  <borders count="6">
    <border>
      <left/>
      <right/>
      <top/>
      <bottom/>
      <diagonal/>
    </border>
    <border>
      <left/>
      <right/>
      <top/>
      <bottom style="thin">
        <color theme="6" tint="0.79998168889431442"/>
      </bottom>
      <diagonal/>
    </border>
    <border>
      <left/>
      <right/>
      <top/>
      <bottom style="thin">
        <color theme="6" tint="-0.24994659260841701"/>
      </bottom>
      <diagonal/>
    </border>
    <border>
      <left/>
      <right/>
      <top style="thin">
        <color theme="4" tint="-0.499984740745262"/>
      </top>
      <bottom style="double">
        <color theme="4" tint="-0.499984740745262"/>
      </bottom>
      <diagonal/>
    </border>
    <border>
      <left style="thick">
        <color theme="0"/>
      </left>
      <right style="thick">
        <color theme="0"/>
      </right>
      <top style="thick">
        <color theme="0"/>
      </top>
      <bottom/>
      <diagonal/>
    </border>
    <border>
      <left/>
      <right/>
      <top style="thin">
        <color theme="6" tint="0.79998168889431442"/>
      </top>
      <bottom style="thin">
        <color theme="6" tint="0.79998168889431442"/>
      </bottom>
      <diagonal/>
    </border>
  </borders>
  <cellStyleXfs count="12">
    <xf numFmtId="0" fontId="0" fillId="0" borderId="1">
      <alignment vertical="center" wrapText="1"/>
    </xf>
    <xf numFmtId="0" fontId="1" fillId="2" borderId="0" applyNumberFormat="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9" fillId="0" borderId="0" applyNumberFormat="0" applyFill="0" applyBorder="0" applyAlignment="0" applyProtection="0"/>
    <xf numFmtId="0" fontId="7" fillId="0" borderId="3" applyNumberFormat="0" applyFill="0" applyAlignment="0" applyProtection="0"/>
    <xf numFmtId="0" fontId="10" fillId="0" borderId="2" applyNumberFormat="0" applyFill="0" applyAlignment="0" applyProtection="0">
      <alignment vertical="center"/>
    </xf>
    <xf numFmtId="165" fontId="11" fillId="0" borderId="0" applyFont="0" applyFill="0" applyBorder="0" applyAlignment="0" applyProtection="0"/>
    <xf numFmtId="14" fontId="11" fillId="0" borderId="0" applyFont="0" applyFill="0" applyBorder="0" applyAlignment="0" applyProtection="0"/>
  </cellStyleXfs>
  <cellXfs count="86">
    <xf numFmtId="0" fontId="0" fillId="0" borderId="1" xfId="0">
      <alignment vertical="center" wrapText="1"/>
    </xf>
    <xf numFmtId="0" fontId="8" fillId="0" borderId="0" xfId="0" applyFont="1" applyBorder="1">
      <alignment vertical="center" wrapText="1"/>
    </xf>
    <xf numFmtId="0" fontId="0" fillId="0" borderId="0" xfId="0" applyBorder="1">
      <alignment vertical="center" wrapText="1"/>
    </xf>
    <xf numFmtId="0" fontId="14" fillId="0" borderId="0" xfId="2" applyFont="1" applyBorder="1" applyAlignment="1">
      <alignment textRotation="90" wrapText="1"/>
    </xf>
    <xf numFmtId="0" fontId="16" fillId="0" borderId="0" xfId="1" applyFont="1" applyFill="1" applyBorder="1"/>
    <xf numFmtId="0" fontId="16" fillId="0" borderId="0" xfId="0" applyFont="1" applyBorder="1">
      <alignment vertical="center" wrapText="1"/>
    </xf>
    <xf numFmtId="0" fontId="15" fillId="0" borderId="0" xfId="0" applyFont="1" applyBorder="1">
      <alignment vertical="center" wrapText="1"/>
    </xf>
    <xf numFmtId="0" fontId="13" fillId="0" borderId="0" xfId="0" applyFont="1" applyBorder="1" applyAlignment="1">
      <alignment horizontal="left" vertical="center" wrapText="1" indent="1"/>
    </xf>
    <xf numFmtId="0" fontId="15" fillId="0" borderId="0" xfId="0" applyFont="1" applyBorder="1" applyAlignment="1">
      <alignment horizontal="left" vertical="center" wrapText="1" indent="1"/>
    </xf>
    <xf numFmtId="14" fontId="15" fillId="0" borderId="0" xfId="0" applyNumberFormat="1" applyFont="1" applyBorder="1" applyAlignment="1">
      <alignment horizontal="left" vertical="center" wrapText="1" indent="1"/>
    </xf>
    <xf numFmtId="0" fontId="15" fillId="0" borderId="0" xfId="0" applyFont="1" applyBorder="1" applyAlignment="1">
      <alignment horizontal="center" vertical="center" wrapText="1"/>
    </xf>
    <xf numFmtId="0" fontId="13" fillId="0" borderId="0" xfId="0" applyFont="1" applyBorder="1" applyAlignment="1">
      <alignment horizontal="left" vertical="center" indent="1"/>
    </xf>
    <xf numFmtId="164" fontId="17" fillId="5" borderId="0" xfId="3" applyNumberFormat="1" applyFont="1" applyFill="1" applyBorder="1" applyAlignment="1">
      <alignment horizontal="right" indent="2"/>
    </xf>
    <xf numFmtId="0" fontId="0" fillId="5" borderId="0" xfId="0" applyFill="1" applyBorder="1">
      <alignment vertical="center" wrapText="1"/>
    </xf>
    <xf numFmtId="0" fontId="18" fillId="5" borderId="0" xfId="9" applyFont="1" applyFill="1" applyBorder="1" applyAlignment="1">
      <alignment horizontal="right" vertical="center" wrapText="1" indent="2"/>
    </xf>
    <xf numFmtId="0" fontId="22" fillId="0" borderId="0" xfId="0" applyFont="1" applyBorder="1" applyAlignment="1">
      <alignment horizontal="left" vertical="center" wrapText="1"/>
    </xf>
    <xf numFmtId="0" fontId="0" fillId="5" borderId="1" xfId="0" applyFill="1">
      <alignment vertical="center" wrapText="1"/>
    </xf>
    <xf numFmtId="0" fontId="25" fillId="0" borderId="0" xfId="0" applyFont="1" applyBorder="1" applyAlignment="1">
      <alignment horizontal="left" vertical="center" wrapText="1" indent="1"/>
    </xf>
    <xf numFmtId="0" fontId="25" fillId="0" borderId="0" xfId="0" applyFont="1" applyBorder="1" applyAlignment="1">
      <alignment horizontal="left" vertical="center" indent="1"/>
    </xf>
    <xf numFmtId="14" fontId="25" fillId="0" borderId="0" xfId="0" applyNumberFormat="1" applyFont="1" applyBorder="1" applyAlignment="1">
      <alignment horizontal="left" vertical="center" wrapText="1" indent="1"/>
    </xf>
    <xf numFmtId="0" fontId="27" fillId="0" borderId="0" xfId="2" applyFont="1" applyBorder="1" applyAlignment="1">
      <alignment textRotation="90" wrapText="1"/>
    </xf>
    <xf numFmtId="0" fontId="29" fillId="5" borderId="0" xfId="0" applyFont="1" applyFill="1" applyBorder="1">
      <alignment vertical="center" wrapText="1"/>
    </xf>
    <xf numFmtId="0" fontId="29" fillId="0" borderId="0" xfId="0" applyFont="1" applyBorder="1">
      <alignment vertical="center" wrapText="1"/>
    </xf>
    <xf numFmtId="0" fontId="30" fillId="0" borderId="0" xfId="0" applyFont="1" applyBorder="1">
      <alignment vertical="center" wrapText="1"/>
    </xf>
    <xf numFmtId="0" fontId="31" fillId="0" borderId="0" xfId="1" applyFont="1" applyFill="1" applyBorder="1"/>
    <xf numFmtId="0" fontId="31" fillId="0" borderId="0" xfId="0" applyFont="1" applyBorder="1">
      <alignment vertical="center" wrapText="1"/>
    </xf>
    <xf numFmtId="14" fontId="25" fillId="0" borderId="0" xfId="0" applyNumberFormat="1" applyFont="1" applyBorder="1" applyAlignment="1">
      <alignment horizontal="left" vertical="center" indent="1"/>
    </xf>
    <xf numFmtId="0" fontId="25" fillId="0" borderId="0" xfId="0" applyFont="1" applyBorder="1">
      <alignment vertical="center" wrapText="1"/>
    </xf>
    <xf numFmtId="0" fontId="25" fillId="0" borderId="0" xfId="0" applyFont="1" applyBorder="1" applyAlignment="1">
      <alignment horizontal="center" vertical="center" wrapText="1"/>
    </xf>
    <xf numFmtId="0" fontId="33" fillId="0" borderId="0" xfId="0" applyFont="1" applyBorder="1" applyAlignment="1">
      <alignment horizontal="left" vertical="center" indent="1"/>
    </xf>
    <xf numFmtId="0" fontId="34" fillId="0" borderId="0" xfId="0" applyFont="1" applyBorder="1" applyAlignment="1">
      <alignment horizontal="left" vertical="center" wrapText="1" indent="1"/>
    </xf>
    <xf numFmtId="0" fontId="34" fillId="0" borderId="0" xfId="0" applyFont="1" applyBorder="1" applyAlignment="1">
      <alignment horizontal="left" vertical="center" indent="1"/>
    </xf>
    <xf numFmtId="0" fontId="34" fillId="3" borderId="4" xfId="0" applyFont="1" applyFill="1" applyBorder="1" applyAlignment="1">
      <alignment horizontal="left" vertical="center" indent="1"/>
    </xf>
    <xf numFmtId="0" fontId="33" fillId="0" borderId="0" xfId="0" applyFont="1" applyBorder="1" applyAlignment="1">
      <alignment horizontal="left" vertical="center" wrapText="1" indent="1"/>
    </xf>
    <xf numFmtId="0" fontId="35" fillId="0" borderId="0" xfId="0" applyFont="1" applyBorder="1" applyAlignment="1">
      <alignment horizontal="left" vertical="center" indent="1"/>
    </xf>
    <xf numFmtId="0" fontId="35" fillId="3" borderId="4" xfId="0" applyFont="1" applyFill="1" applyBorder="1" applyAlignment="1">
      <alignment horizontal="left" vertical="center" indent="1"/>
    </xf>
    <xf numFmtId="0" fontId="34" fillId="0" borderId="0" xfId="0" applyFont="1" applyBorder="1" applyAlignment="1">
      <alignment horizontal="center" vertical="center" wrapText="1"/>
    </xf>
    <xf numFmtId="0" fontId="36" fillId="0" borderId="1" xfId="0" applyFont="1">
      <alignment vertical="center" wrapText="1"/>
    </xf>
    <xf numFmtId="0" fontId="26" fillId="0" borderId="1" xfId="0" applyFont="1">
      <alignment vertical="center" wrapText="1"/>
    </xf>
    <xf numFmtId="0" fontId="37" fillId="0" borderId="1" xfId="0" applyFont="1">
      <alignment vertical="center" wrapText="1"/>
    </xf>
    <xf numFmtId="0" fontId="33" fillId="3" borderId="4" xfId="0" applyFont="1" applyFill="1" applyBorder="1" applyAlignment="1">
      <alignment horizontal="left" vertical="center" indent="1"/>
    </xf>
    <xf numFmtId="0" fontId="12" fillId="5" borderId="0" xfId="0" applyFont="1" applyFill="1" applyBorder="1" applyAlignment="1">
      <alignment horizontal="center" vertical="center"/>
    </xf>
    <xf numFmtId="0" fontId="21" fillId="5" borderId="0" xfId="0" applyFont="1" applyFill="1" applyBorder="1" applyAlignment="1">
      <alignment horizontal="center" vertical="center" wrapText="1"/>
    </xf>
    <xf numFmtId="0" fontId="38" fillId="0" borderId="1" xfId="0" applyFont="1" applyAlignment="1">
      <alignment horizontal="center" vertical="center" wrapText="1"/>
    </xf>
    <xf numFmtId="0" fontId="26" fillId="0" borderId="1" xfId="0" applyFont="1" applyAlignment="1">
      <alignment horizontal="left" vertical="center" wrapText="1"/>
    </xf>
    <xf numFmtId="0" fontId="13" fillId="9" borderId="0" xfId="0" applyFont="1" applyFill="1" applyBorder="1" applyAlignment="1">
      <alignment horizontal="left" vertical="center" indent="1"/>
    </xf>
    <xf numFmtId="0" fontId="13" fillId="9" borderId="0" xfId="0" applyFont="1" applyFill="1" applyBorder="1" applyAlignment="1">
      <alignment horizontal="left" vertical="center" wrapText="1" indent="1"/>
    </xf>
    <xf numFmtId="0" fontId="41" fillId="0" borderId="1" xfId="0" applyFont="1" applyAlignment="1">
      <alignment horizontal="center" vertical="center" wrapText="1"/>
    </xf>
    <xf numFmtId="0" fontId="34" fillId="0" borderId="1" xfId="0" applyFont="1" applyAlignment="1">
      <alignment horizontal="center" vertical="center" wrapText="1"/>
    </xf>
    <xf numFmtId="0" fontId="0" fillId="0" borderId="1" xfId="0" applyAlignment="1">
      <alignment vertical="top" wrapText="1"/>
    </xf>
    <xf numFmtId="0" fontId="15" fillId="0" borderId="1" xfId="0" applyFont="1" applyAlignment="1">
      <alignment horizontal="left" vertical="center" wrapText="1" indent="1"/>
    </xf>
    <xf numFmtId="0" fontId="22" fillId="5" borderId="0" xfId="0" applyFont="1" applyFill="1" applyBorder="1" applyAlignment="1">
      <alignment horizontal="left" vertical="center" wrapText="1"/>
    </xf>
    <xf numFmtId="0" fontId="44" fillId="0" borderId="1" xfId="0" applyFont="1" applyAlignment="1">
      <alignment horizontal="center" vertical="top" wrapText="1"/>
    </xf>
    <xf numFmtId="0" fontId="46" fillId="0" borderId="1" xfId="0" applyFont="1" applyAlignment="1">
      <alignment horizontal="left" vertical="center" wrapText="1" indent="1"/>
    </xf>
    <xf numFmtId="0" fontId="46" fillId="0" borderId="0" xfId="0" applyFont="1" applyBorder="1" applyAlignment="1">
      <alignment horizontal="left" vertical="center" wrapText="1" indent="1"/>
    </xf>
    <xf numFmtId="0" fontId="45" fillId="0" borderId="2" xfId="9" applyFont="1" applyAlignment="1">
      <alignment horizontal="left" vertical="center" wrapText="1" indent="1"/>
    </xf>
    <xf numFmtId="0" fontId="47" fillId="0" borderId="1" xfId="0" applyFont="1" applyAlignment="1">
      <alignment horizontal="center" vertical="center" wrapText="1"/>
    </xf>
    <xf numFmtId="0" fontId="48" fillId="0" borderId="1" xfId="0" applyFont="1" applyAlignment="1">
      <alignment horizontal="center" vertical="center" wrapText="1"/>
    </xf>
    <xf numFmtId="0" fontId="49" fillId="0" borderId="2" xfId="9" applyFont="1" applyAlignment="1">
      <alignment horizontal="left" vertical="center" wrapText="1" indent="1"/>
    </xf>
    <xf numFmtId="0" fontId="47" fillId="0" borderId="2" xfId="9" applyFont="1" applyAlignment="1">
      <alignment horizontal="center" vertical="center" wrapText="1"/>
    </xf>
    <xf numFmtId="0" fontId="10" fillId="0" borderId="2" xfId="9" applyAlignment="1">
      <alignment horizontal="left" vertical="center" wrapText="1" indent="1"/>
    </xf>
    <xf numFmtId="0" fontId="31" fillId="0" borderId="1" xfId="0" applyFont="1" applyAlignment="1">
      <alignment horizontal="left" vertical="center" wrapText="1" indent="1"/>
    </xf>
    <xf numFmtId="0" fontId="41" fillId="14" borderId="1" xfId="0" applyFont="1" applyFill="1" applyAlignment="1">
      <alignment horizontal="center" vertical="center" wrapText="1"/>
    </xf>
    <xf numFmtId="0" fontId="41" fillId="15" borderId="1" xfId="0" applyFont="1" applyFill="1" applyAlignment="1">
      <alignment horizontal="center" vertical="center" wrapText="1"/>
    </xf>
    <xf numFmtId="0" fontId="24" fillId="14" borderId="1" xfId="0" applyFont="1" applyFill="1" applyAlignment="1">
      <alignment horizontal="left" vertical="center" wrapText="1"/>
    </xf>
    <xf numFmtId="0" fontId="41" fillId="5" borderId="1" xfId="0" applyFont="1" applyFill="1" applyAlignment="1">
      <alignment horizontal="center" vertical="center" wrapText="1"/>
    </xf>
    <xf numFmtId="0" fontId="24" fillId="5" borderId="1" xfId="0" applyFont="1" applyFill="1" applyAlignment="1">
      <alignment horizontal="left" vertical="center" wrapText="1"/>
    </xf>
    <xf numFmtId="0" fontId="24" fillId="15" borderId="1" xfId="0" applyFont="1" applyFill="1" applyAlignment="1">
      <alignment horizontal="left" vertical="center" wrapText="1"/>
    </xf>
    <xf numFmtId="0" fontId="22" fillId="7" borderId="0" xfId="0" applyFont="1" applyFill="1" applyBorder="1" applyAlignment="1">
      <alignment horizontal="left" vertical="top" wrapText="1"/>
    </xf>
    <xf numFmtId="0" fontId="29" fillId="7" borderId="0" xfId="0" applyFont="1" applyFill="1" applyBorder="1" applyAlignment="1">
      <alignment horizontal="left" vertical="top" wrapText="1"/>
    </xf>
    <xf numFmtId="0" fontId="12" fillId="4" borderId="0" xfId="0" applyFont="1" applyFill="1" applyBorder="1" applyAlignment="1">
      <alignment horizontal="center" vertical="center"/>
    </xf>
    <xf numFmtId="0" fontId="23" fillId="6" borderId="0" xfId="0" applyFont="1" applyFill="1" applyBorder="1" applyAlignment="1">
      <alignment horizontal="center" vertical="center" wrapText="1"/>
    </xf>
    <xf numFmtId="0" fontId="28" fillId="6" borderId="0" xfId="0" applyFont="1" applyFill="1" applyBorder="1" applyAlignment="1">
      <alignment horizontal="center" vertical="center" wrapText="1"/>
    </xf>
    <xf numFmtId="0" fontId="32" fillId="0" borderId="0" xfId="0" applyFont="1" applyBorder="1" applyAlignment="1">
      <alignment horizontal="center" vertical="center"/>
    </xf>
    <xf numFmtId="0" fontId="20" fillId="6"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48" fillId="0" borderId="5" xfId="0" applyFont="1" applyBorder="1">
      <alignment vertical="center" wrapText="1"/>
    </xf>
    <xf numFmtId="0" fontId="0" fillId="0" borderId="5" xfId="0" applyBorder="1">
      <alignment vertical="center" wrapText="1"/>
    </xf>
    <xf numFmtId="0" fontId="20" fillId="11" borderId="0" xfId="0" applyFont="1" applyFill="1" applyBorder="1" applyAlignment="1">
      <alignment horizontal="center" vertical="center" wrapText="1"/>
    </xf>
    <xf numFmtId="0" fontId="40" fillId="13" borderId="0" xfId="0" applyFont="1" applyFill="1" applyBorder="1" applyAlignment="1">
      <alignment horizontal="center" vertical="center" wrapText="1"/>
    </xf>
    <xf numFmtId="0" fontId="20" fillId="13" borderId="0" xfId="0" applyFont="1" applyFill="1" applyBorder="1" applyAlignment="1">
      <alignment horizontal="center" vertical="center" wrapText="1"/>
    </xf>
    <xf numFmtId="0" fontId="12" fillId="7" borderId="0" xfId="0" applyFont="1" applyFill="1" applyBorder="1" applyAlignment="1">
      <alignment horizontal="center" vertical="center"/>
    </xf>
    <xf numFmtId="0" fontId="39" fillId="8" borderId="0" xfId="0" applyFont="1" applyFill="1" applyBorder="1" applyAlignment="1">
      <alignment horizontal="center" vertical="center" wrapText="1"/>
    </xf>
    <xf numFmtId="0" fontId="20" fillId="8" borderId="0" xfId="0" applyFont="1" applyFill="1" applyBorder="1" applyAlignment="1">
      <alignment horizontal="center" vertical="center" wrapText="1"/>
    </xf>
    <xf numFmtId="0" fontId="12" fillId="10" borderId="0" xfId="0" applyFont="1" applyFill="1" applyBorder="1" applyAlignment="1">
      <alignment horizontal="center" vertical="center"/>
    </xf>
    <xf numFmtId="0" fontId="12" fillId="12" borderId="0" xfId="0" applyFont="1" applyFill="1" applyBorder="1" applyAlignment="1">
      <alignment horizontal="center" vertical="center"/>
    </xf>
  </cellXfs>
  <cellStyles count="12">
    <cellStyle name="20% - Accent5" xfId="1" builtinId="46"/>
    <cellStyle name="Date" xfId="11" xr:uid="{00000000-0005-0000-0000-000001000000}"/>
    <cellStyle name="Explanatory Text" xfId="7" builtinId="53" customBuiltin="1"/>
    <cellStyle name="Heading 1" xfId="3" builtinId="16" customBuiltin="1"/>
    <cellStyle name="Heading 2" xfId="4" builtinId="17" customBuiltin="1"/>
    <cellStyle name="Heading 3" xfId="5" builtinId="18" customBuiltin="1"/>
    <cellStyle name="Heading 4" xfId="6" builtinId="19" customBuiltin="1"/>
    <cellStyle name="Hyperlink" xfId="9" builtinId="8" customBuiltin="1"/>
    <cellStyle name="Normal" xfId="0" builtinId="0" customBuiltin="1"/>
    <cellStyle name="Phone" xfId="10" xr:uid="{00000000-0005-0000-0000-000009000000}"/>
    <cellStyle name="Title" xfId="2" builtinId="15" customBuiltin="1"/>
    <cellStyle name="Total" xfId="8" builtinId="25" customBuiltin="1"/>
  </cellStyles>
  <dxfs count="77">
    <dxf>
      <font>
        <strike/>
        <u val="none"/>
        <color theme="1" tint="0.499984740745262"/>
      </font>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strike/>
        <u val="none"/>
        <color theme="1" tint="0.499984740745262"/>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b/>
        <i val="0"/>
        <color theme="7" tint="-0.24994659260841701"/>
      </font>
    </dxf>
    <dxf>
      <font>
        <b/>
        <i val="0"/>
        <color theme="0"/>
      </font>
      <fill>
        <patternFill patternType="solid">
          <fgColor auto="1"/>
          <bgColor theme="7" tint="-0.24994659260841701"/>
        </patternFill>
      </fill>
    </dxf>
    <dxf>
      <font>
        <strike/>
        <u val="none"/>
        <color theme="1" tint="0.499984740745262"/>
      </font>
      <fill>
        <patternFill>
          <bgColor theme="7" tint="0.79998168889431442"/>
        </patternFill>
      </fill>
    </dxf>
    <dxf>
      <font>
        <strike/>
        <u val="none"/>
        <color theme="1" tint="0.499984740745262"/>
      </font>
    </dxf>
    <dxf>
      <font>
        <b/>
        <i val="0"/>
        <color theme="7" tint="-0.24994659260841701"/>
      </font>
    </dxf>
    <dxf>
      <font>
        <strike val="0"/>
        <outline val="0"/>
        <shadow val="0"/>
        <u val="none"/>
        <vertAlign val="baseline"/>
        <sz val="12"/>
      </font>
      <alignment horizontal="left" vertical="center" textRotation="0" indent="1" justifyLastLine="0" shrinkToFit="0" readingOrder="0"/>
    </dxf>
    <dxf>
      <font>
        <strike val="0"/>
        <outline val="0"/>
        <shadow val="0"/>
        <u val="none"/>
        <vertAlign val="baseline"/>
        <sz val="12"/>
      </font>
    </dxf>
    <dxf>
      <font>
        <strike val="0"/>
        <outline val="0"/>
        <shadow val="0"/>
        <u val="none"/>
        <vertAlign val="baseline"/>
        <sz val="12"/>
        <color theme="1" tint="0.14996795556505021"/>
        <name val="Rockwell"/>
        <family val="1"/>
        <scheme val="major"/>
      </font>
    </dxf>
    <dxf>
      <font>
        <strike val="0"/>
        <outline val="0"/>
        <shadow val="0"/>
        <u val="none"/>
        <vertAlign val="baseline"/>
        <sz val="12"/>
      </font>
      <alignment horizontal="left" vertical="center" textRotation="0" indent="1" justifyLastLine="0" shrinkToFit="0" readingOrder="0"/>
    </dxf>
    <dxf>
      <font>
        <strike val="0"/>
        <outline val="0"/>
        <shadow val="0"/>
        <u val="none"/>
        <vertAlign val="baseline"/>
        <sz val="12"/>
      </font>
    </dxf>
    <dxf>
      <font>
        <strike val="0"/>
        <outline val="0"/>
        <shadow val="0"/>
        <u val="none"/>
        <vertAlign val="baseline"/>
        <sz val="12"/>
        <color theme="1" tint="0.14996795556505021"/>
        <name val="Rockwell"/>
        <family val="1"/>
        <scheme val="major"/>
      </font>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24"/>
        <color theme="1" tint="0.14996795556505021"/>
        <name val="Calibri"/>
        <family val="2"/>
        <scheme val="none"/>
      </font>
      <alignment horizontal="center" vertical="center" textRotation="0" wrapText="1" indent="0" justifyLastLine="0" shrinkToFit="0" readingOrder="0"/>
    </dxf>
    <dxf>
      <font>
        <strike val="0"/>
        <outline val="0"/>
        <shadow val="0"/>
        <u val="none"/>
        <vertAlign val="baseline"/>
        <sz val="12"/>
        <color theme="1" tint="0.14996795556505021"/>
        <name val="Rockwell"/>
        <family val="1"/>
        <scheme val="major"/>
      </font>
    </dxf>
    <dxf>
      <font>
        <b val="0"/>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24"/>
        <color theme="1" tint="0.14996795556505021"/>
        <name val="Calibri"/>
        <family val="2"/>
        <scheme val="none"/>
      </font>
      <alignment horizontal="center" vertical="center" textRotation="0" wrapText="1" indent="0" justifyLastLine="0" shrinkToFit="0" readingOrder="0"/>
    </dxf>
    <dxf>
      <font>
        <strike val="0"/>
        <outline val="0"/>
        <shadow val="0"/>
        <u val="none"/>
        <vertAlign val="baseline"/>
        <sz val="12"/>
        <color theme="1" tint="0.14996795556505021"/>
        <name val="Rockwell"/>
        <family val="1"/>
        <scheme val="major"/>
      </font>
    </dxf>
    <dxf>
      <font>
        <strike val="0"/>
        <outline val="0"/>
        <shadow val="0"/>
        <u val="none"/>
        <vertAlign val="baseline"/>
        <sz val="14"/>
        <color theme="1" tint="0.14996795556505021"/>
      </font>
      <alignment horizontal="left" vertical="center" textRotation="0" wrapText="1" indent="0" justifyLastLine="0" shrinkToFit="0" readingOrder="0"/>
    </dxf>
    <dxf>
      <font>
        <strike val="0"/>
        <outline val="0"/>
        <shadow val="0"/>
        <u val="none"/>
        <vertAlign val="baseline"/>
        <sz val="24"/>
        <color theme="1" tint="0.14996795556505021"/>
        <name val="Calibri"/>
        <family val="2"/>
        <scheme val="none"/>
      </font>
      <alignment horizontal="center" vertical="center" textRotation="0" wrapText="1" indent="0" justifyLastLine="0" shrinkToFit="0" readingOrder="0"/>
    </dxf>
    <dxf>
      <font>
        <strike val="0"/>
        <outline val="0"/>
        <shadow val="0"/>
        <u val="none"/>
        <vertAlign val="baseline"/>
        <sz val="12"/>
        <color theme="1" tint="0.14996795556505021"/>
        <name val="Rockwell"/>
        <family val="1"/>
        <scheme val="major"/>
      </font>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22"/>
        <color theme="1" tint="0.14996795556505021"/>
        <name val="Calibri"/>
        <family val="2"/>
        <scheme val="none"/>
      </font>
      <alignment horizontal="center" vertical="center" textRotation="0" wrapText="1" indent="0" justifyLastLine="0" shrinkToFit="0" readingOrder="0"/>
    </dxf>
    <dxf>
      <font>
        <strike val="0"/>
        <outline val="0"/>
        <shadow val="0"/>
        <u val="none"/>
        <vertAlign val="baseline"/>
        <sz val="12"/>
        <color theme="1" tint="0.14996795556505021"/>
        <name val="Rockwell"/>
        <family val="1"/>
        <scheme val="major"/>
      </font>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20"/>
        <color theme="1" tint="0.14996795556505021"/>
        <name val="Calibri"/>
        <family val="2"/>
        <scheme val="none"/>
      </font>
      <alignment horizontal="center" vertical="center" textRotation="0" wrapText="1" indent="0" justifyLastLine="0" shrinkToFit="0" readingOrder="0"/>
    </dxf>
    <dxf>
      <font>
        <strike val="0"/>
        <outline val="0"/>
        <shadow val="0"/>
        <u val="none"/>
        <vertAlign val="baseline"/>
        <sz val="20"/>
        <color theme="1" tint="0.14996795556505021"/>
        <name val="Calibri"/>
        <family val="2"/>
        <scheme val="none"/>
      </font>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14"/>
        <color theme="1" tint="0.14996795556505021"/>
        <name val="Calibri"/>
        <family val="2"/>
        <scheme val="none"/>
      </font>
      <alignment horizontal="left" vertical="center" textRotation="0" wrapText="1" indent="0" justifyLastLine="0" shrinkToFit="0" readingOrder="0"/>
    </dxf>
    <dxf>
      <font>
        <strike val="0"/>
        <outline val="0"/>
        <shadow val="0"/>
        <u val="none"/>
        <vertAlign val="baseline"/>
        <sz val="20"/>
        <color theme="1" tint="0.14996795556505021"/>
        <name val="Calibri"/>
        <family val="2"/>
        <scheme val="none"/>
      </font>
      <alignment horizontal="center" vertical="center" textRotation="0" wrapText="1" indent="0" justifyLastLine="0" shrinkToFit="0" readingOrder="0"/>
    </dxf>
    <dxf>
      <font>
        <b/>
        <strike val="0"/>
        <outline val="0"/>
        <shadow val="0"/>
        <u val="none"/>
        <vertAlign val="baseline"/>
        <sz val="20"/>
        <color theme="1" tint="0.14996795556505021"/>
        <name val="Rockwell"/>
        <family val="1"/>
        <scheme val="major"/>
      </font>
    </dxf>
    <dxf>
      <font>
        <strike val="0"/>
        <outline val="0"/>
        <shadow val="0"/>
        <u val="none"/>
        <vertAlign val="baseline"/>
        <sz val="12"/>
        <name val="Calibri"/>
        <family val="2"/>
        <scheme val="none"/>
      </font>
    </dxf>
    <dxf>
      <font>
        <strike val="0"/>
        <outline val="0"/>
        <shadow val="0"/>
        <u val="none"/>
        <vertAlign val="baseline"/>
        <sz val="12"/>
        <name val="Calibri"/>
        <family val="2"/>
        <scheme val="none"/>
      </font>
    </dxf>
    <dxf>
      <font>
        <strike val="0"/>
        <outline val="0"/>
        <shadow val="0"/>
        <u val="none"/>
        <vertAlign val="baseline"/>
        <sz val="12"/>
        <name val="Calibri"/>
        <family val="2"/>
        <scheme val="none"/>
      </font>
    </dxf>
    <dxf>
      <font>
        <strike val="0"/>
        <outline val="0"/>
        <shadow val="0"/>
        <u val="none"/>
        <vertAlign val="baseline"/>
        <sz val="12"/>
        <name val="Calibri"/>
        <family val="2"/>
        <scheme val="none"/>
      </font>
      <numFmt numFmtId="166" formatCode="m/d/yyyy"/>
      <alignment horizontal="left" vertical="center" textRotation="0" indent="1" justifyLastLine="0" shrinkToFit="0" readingOrder="0"/>
    </dxf>
    <dxf>
      <font>
        <strike val="0"/>
        <outline val="0"/>
        <shadow val="0"/>
        <u val="none"/>
        <vertAlign val="baseline"/>
        <sz val="12"/>
        <name val="Calibri"/>
        <family val="2"/>
        <scheme val="none"/>
      </font>
      <alignment horizontal="left" vertical="center" textRotation="0" indent="1" justifyLastLine="0" shrinkToFit="0" readingOrder="0"/>
    </dxf>
    <dxf>
      <font>
        <strike val="0"/>
        <outline val="0"/>
        <shadow val="0"/>
        <u val="none"/>
        <vertAlign val="baseline"/>
        <sz val="12"/>
        <name val="Calibri"/>
        <family val="2"/>
        <scheme val="none"/>
      </font>
    </dxf>
    <dxf>
      <font>
        <strike val="0"/>
        <outline val="0"/>
        <shadow val="0"/>
        <u val="none"/>
        <vertAlign val="baseline"/>
        <sz val="12"/>
        <color theme="1" tint="0.14996795556505021"/>
        <name val="Calibri"/>
        <family val="2"/>
        <scheme val="none"/>
      </font>
    </dxf>
    <dxf>
      <border>
        <bottom style="thin">
          <color auto="1"/>
        </bottom>
        <vertical/>
      </border>
    </dxf>
    <dxf>
      <font>
        <color theme="3" tint="0.34998626667073579"/>
      </font>
      <fill>
        <patternFill patternType="none">
          <bgColor auto="1"/>
        </patternFill>
      </fill>
      <border diagonalUp="0" diagonalDown="0">
        <left/>
        <right/>
        <top/>
        <bottom style="thin">
          <color theme="6" tint="0.79998168889431442"/>
        </bottom>
        <vertical/>
        <horizontal style="thin">
          <color theme="6" tint="0.79998168889431442"/>
        </horizontal>
      </border>
    </dxf>
    <dxf>
      <fill>
        <patternFill patternType="solid">
          <fgColor theme="4" tint="0.79998168889431442"/>
          <bgColor theme="4" tint="0.79998168889431442"/>
        </patternFill>
      </fill>
    </dxf>
    <dxf>
      <border diagonalUp="0" diagonalDown="0">
        <left/>
        <right/>
        <top/>
        <bottom/>
        <vertical/>
        <horizontal/>
      </border>
    </dxf>
    <dxf>
      <font>
        <color theme="2" tint="0.79995117038483843"/>
      </font>
      <fill>
        <patternFill>
          <bgColor theme="7" tint="-0.24994659260841701"/>
        </patternFill>
      </fill>
      <border>
        <right style="thick">
          <color theme="0"/>
        </right>
        <top style="thick">
          <color theme="0"/>
        </top>
        <vertical style="thick">
          <color theme="0"/>
        </vertical>
      </border>
    </dxf>
    <dxf>
      <font>
        <b val="0"/>
        <i val="0"/>
        <color auto="1"/>
      </font>
      <fill>
        <patternFill patternType="none">
          <bgColor auto="1"/>
        </patternFill>
      </fill>
      <border>
        <vertical/>
        <horizontal/>
      </border>
    </dxf>
    <dxf>
      <fill>
        <patternFill patternType="solid">
          <fgColor auto="1"/>
          <bgColor theme="9" tint="0.79998168889431442"/>
        </patternFill>
      </fill>
    </dxf>
    <dxf>
      <border>
        <vertical/>
        <horizontal/>
      </border>
    </dxf>
    <dxf>
      <font>
        <color theme="2" tint="0.79995117038483843"/>
      </font>
      <fill>
        <patternFill>
          <bgColor theme="9" tint="-0.499984740745262"/>
        </patternFill>
      </fill>
      <border>
        <right style="thick">
          <color theme="0"/>
        </right>
        <top style="thick">
          <color theme="0"/>
        </top>
        <vertical style="thick">
          <color theme="0"/>
        </vertical>
      </border>
    </dxf>
    <dxf>
      <font>
        <b val="0"/>
        <i val="0"/>
        <color auto="1"/>
      </font>
      <fill>
        <patternFill patternType="none">
          <bgColor auto="1"/>
        </patternFill>
      </fill>
      <border>
        <vertical/>
        <horizontal/>
      </border>
    </dxf>
  </dxfs>
  <tableStyles count="3" defaultTableStyle="To Do List" defaultPivotStyle="PivotStyleLight18">
    <tableStyle name="Address Book" pivot="0" count="4" xr9:uid="{00000000-0011-0000-FFFF-FFFF00000000}">
      <tableStyleElement type="wholeTable" dxfId="76"/>
      <tableStyleElement type="headerRow" dxfId="75"/>
      <tableStyleElement type="totalRow" dxfId="74"/>
      <tableStyleElement type="secondRowStripe" dxfId="73"/>
    </tableStyle>
    <tableStyle name="Address Book 2" pivot="0" count="4" xr9:uid="{041EE71F-B48E-4B8A-ACBE-DBFCF19F1B89}">
      <tableStyleElement type="wholeTable" dxfId="72"/>
      <tableStyleElement type="headerRow" dxfId="71"/>
      <tableStyleElement type="totalRow" dxfId="70"/>
      <tableStyleElement type="secondRowStripe" dxfId="69"/>
    </tableStyle>
    <tableStyle name="To Do List" pivot="0" count="2" xr9:uid="{00000000-0011-0000-FFFF-FFFF01000000}">
      <tableStyleElement type="wholeTable" dxfId="68"/>
      <tableStyleElement type="headerRow" dxfId="67"/>
    </tableStyle>
  </tableStyles>
  <colors>
    <mruColors>
      <color rgb="FFFFFF4F"/>
      <color rgb="FFF63636"/>
      <color rgb="FF00E2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oDoList" displayName="ToDoList" ref="B6:F20" totalsRowShown="0" headerRowDxfId="66" dataDxfId="65">
  <autoFilter ref="B6:F20" xr:uid="{00000000-000C-0000-FFFF-FFFF00000000}">
    <filterColumn colId="0">
      <filters blank="1"/>
    </filterColumn>
  </autoFilter>
  <tableColumns count="5">
    <tableColumn id="2" xr3:uid="{00000000-0010-0000-0000-000002000000}" name="Features" dataDxfId="64"/>
    <tableColumn id="3" xr3:uid="{00000000-0010-0000-0000-000003000000}" name="Mojro" dataDxfId="63"/>
    <tableColumn id="4" xr3:uid="{00000000-0010-0000-0000-000004000000}" name="Locus" dataDxfId="62"/>
    <tableColumn id="5" xr3:uid="{00000000-0010-0000-0000-000005000000}" name="FarEye" dataDxfId="61"/>
    <tableColumn id="6" xr3:uid="{F019A2A8-C623-489D-84EF-93CF42845151}" name="LogiNext" dataDxfId="60"/>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AC0ED474-EDD6-4F06-AE5A-AB6324D35E07}" name="ToDoList18" displayName="ToDoList18" ref="B6:F12" totalsRowShown="0" headerRowDxfId="59">
  <autoFilter ref="B6:F12" xr:uid="{AC0ED474-EDD6-4F06-AE5A-AB6324D35E07}"/>
  <tableColumns count="5">
    <tableColumn id="2" xr3:uid="{AC00E5C8-78C0-4E14-8423-B614364D48B0}" name="Features" dataDxfId="58"/>
    <tableColumn id="3" xr3:uid="{F77C7696-207F-43D8-BDB0-1DB84430D6BB}" name="Mojro" dataDxfId="57"/>
    <tableColumn id="4" xr3:uid="{CA09ACB1-A948-4209-893D-313046BC4AF0}" name="Locus" dataDxfId="56"/>
    <tableColumn id="5" xr3:uid="{6105770E-E92B-4FC7-A43A-554CC2CF9163}" name="FarEye" dataDxfId="55"/>
    <tableColumn id="6" xr3:uid="{E7DFF36A-1247-41AF-BCBF-B6379FA9B302}" name="LogiNext" dataDxfId="54"/>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4D3E80CD-7328-47E4-B3B7-78B1575D0225}" name="ToDoList1820" displayName="ToDoList1820" ref="B6:F12" totalsRowShown="0" headerRowDxfId="53">
  <autoFilter ref="B6:F12" xr:uid="{4D3E80CD-7328-47E4-B3B7-78B1575D0225}"/>
  <tableColumns count="5">
    <tableColumn id="2" xr3:uid="{048EB5ED-0588-4B0D-B371-9F6E3E9E3827}" name="Features" dataDxfId="52"/>
    <tableColumn id="3" xr3:uid="{CD466030-145F-4D35-A6C2-F9A834D9CC39}" name="Mojro" dataDxfId="51"/>
    <tableColumn id="4" xr3:uid="{E7F2CEB8-99CC-449C-AA7D-3C251EC8D777}" name="Locus" dataDxfId="50"/>
    <tableColumn id="5" xr3:uid="{8C6CD7D2-FA89-4072-9B91-459AF19C46AE}" name="FarEye" dataDxfId="49"/>
    <tableColumn id="6" xr3:uid="{71C4257E-6A9B-47BA-BF18-DC5BAB2B670C}" name="LogiNext" dataDxfId="48"/>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039FBA7-C520-4AEC-AEDC-8D2DB716B229}" name="ToDoList18202232" displayName="ToDoList18202232" ref="B6:C10" totalsRowShown="0" headerRowDxfId="47">
  <autoFilter ref="B6:C10" xr:uid="{D039FBA7-C520-4AEC-AEDC-8D2DB716B229}"/>
  <tableColumns count="2">
    <tableColumn id="2" xr3:uid="{FC09DC0D-E27C-441B-9A06-20A209D12150}" name=" " dataDxfId="46"/>
    <tableColumn id="3" xr3:uid="{527C546F-CD33-46CD-BE88-D87344744493}" name="   " dataDxfId="45"/>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7CEF1E8C-32F1-4881-8E3F-0A4D6E7CB693}" name="ToDoList1820222533" displayName="ToDoList1820222533" ref="E6:F10" totalsRowShown="0" headerRowDxfId="44">
  <autoFilter ref="E6:F10" xr:uid="{7CEF1E8C-32F1-4881-8E3F-0A4D6E7CB693}"/>
  <tableColumns count="2">
    <tableColumn id="2" xr3:uid="{BC4FC69F-556A-42CE-9A60-17758145706E}" name=" " dataDxfId="43"/>
    <tableColumn id="3" xr3:uid="{86E4FFB0-68DD-4DC5-BBC0-DFC188A48557}" name="   " dataDxfId="42"/>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9475AE5-AACE-454D-AA3C-ECAA43A9686F}" name="ToDoList1820222634" displayName="ToDoList1820222634" ref="B21:C25" totalsRowShown="0" headerRowDxfId="41">
  <autoFilter ref="B21:C25" xr:uid="{B9475AE5-AACE-454D-AA3C-ECAA43A9686F}"/>
  <tableColumns count="2">
    <tableColumn id="2" xr3:uid="{D5F66D49-46DF-4252-8FBD-10391497EE99}" name=" " dataDxfId="40"/>
    <tableColumn id="3" xr3:uid="{54FB74AC-9E85-4AF2-8B66-03B5FBD487AD}" name="   " dataDxfId="39"/>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63BFCA7C-74D7-4BDB-BE17-76E72426F330}" name="ToDoList182022252735" displayName="ToDoList182022252735" ref="E21:F25" totalsRowShown="0" headerRowDxfId="38">
  <autoFilter ref="E21:F25" xr:uid="{63BFCA7C-74D7-4BDB-BE17-76E72426F330}"/>
  <tableColumns count="2">
    <tableColumn id="2" xr3:uid="{108B6934-2EE9-4169-A451-5239157AD1BF}" name=" " dataDxfId="37"/>
    <tableColumn id="3" xr3:uid="{F6919E4E-0264-49C3-AF84-57E7F8AD82AF}" name="   " dataDxfId="36"/>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3ED37CCF-6C5D-46E6-8474-1869909E9A11}" name="ToDoList1820222446" displayName="ToDoList1820222446" ref="B2:B5" totalsRowShown="0" headerRowDxfId="35" dataDxfId="34">
  <autoFilter ref="B2:B5" xr:uid="{3ED37CCF-6C5D-46E6-8474-1869909E9A11}"/>
  <tableColumns count="1">
    <tableColumn id="2" xr3:uid="{4FE771D4-6044-4AA1-AB4B-780D84B5DF2C}" name="Features" dataDxfId="33"/>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014638F-F47C-4D88-B9B1-246C4A5A1C20}" name="ToDoList1820222448" displayName="ToDoList1820222448" ref="B2:B35" totalsRowShown="0" headerRowDxfId="32" dataDxfId="31">
  <autoFilter ref="B2:B35" xr:uid="{A014638F-F47C-4D88-B9B1-246C4A5A1C20}"/>
  <tableColumns count="1">
    <tableColumn id="2" xr3:uid="{E8812ECB-684A-4242-8E92-401C4DF719E4}" name="Features" dataDxfId="30"/>
  </tableColumns>
  <tableStyleInfo name="Address Book" showFirstColumn="1" showLastColumn="0" showRowStripes="1" showColumnStripes="0"/>
  <extLst>
    <ext xmlns:x14="http://schemas.microsoft.com/office/spreadsheetml/2009/9/main" uri="{504A1905-F514-4f6f-8877-14C23A59335A}">
      <x14:table altTextSummary="Enter 1 to mark task as Done, Description, and Due Date, and select Priority and Assigned to names in this table"/>
    </ext>
  </extLst>
</table>
</file>

<file path=xl/theme/theme1.xml><?xml version="1.0" encoding="utf-8"?>
<a:theme xmlns:a="http://schemas.openxmlformats.org/drawingml/2006/main" name="Personal">
  <a:themeElements>
    <a:clrScheme name="TM22583886">
      <a:dk1>
        <a:srgbClr val="000000"/>
      </a:dk1>
      <a:lt1>
        <a:srgbClr val="FFFFFF"/>
      </a:lt1>
      <a:dk2>
        <a:srgbClr val="0E2841"/>
      </a:dk2>
      <a:lt2>
        <a:srgbClr val="E8E8E8"/>
      </a:lt2>
      <a:accent1>
        <a:srgbClr val="D3ACBD"/>
      </a:accent1>
      <a:accent2>
        <a:srgbClr val="3C67A2"/>
      </a:accent2>
      <a:accent3>
        <a:srgbClr val="32744B"/>
      </a:accent3>
      <a:accent4>
        <a:srgbClr val="E070A6"/>
      </a:accent4>
      <a:accent5>
        <a:srgbClr val="0B43D3"/>
      </a:accent5>
      <a:accent6>
        <a:srgbClr val="6EC0B2"/>
      </a:accent6>
      <a:hlink>
        <a:srgbClr val="467886"/>
      </a:hlink>
      <a:folHlink>
        <a:srgbClr val="96607D"/>
      </a:folHlink>
    </a:clrScheme>
    <a:fontScheme name="Custom 45">
      <a:majorFont>
        <a:latin typeface="Rockwell"/>
        <a:ea typeface=""/>
        <a:cs typeface=""/>
      </a:majorFont>
      <a:minorFont>
        <a:latin typeface="Franklin Gothic Book"/>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table" Target="../tables/table4.xml"/><Relationship Id="rId4"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table" Target="../tables/table8.xml"/></Relationships>
</file>

<file path=xl/worksheets/_rels/sheet6.xml.rels><?xml version="1.0" encoding="UTF-8" standalone="yes"?>
<Relationships xmlns="http://schemas.openxmlformats.org/package/2006/relationships"><Relationship Id="rId8" Type="http://schemas.openxmlformats.org/officeDocument/2006/relationships/hyperlink" Target="https://fareye.com/" TargetMode="External"/><Relationship Id="rId13" Type="http://schemas.openxmlformats.org/officeDocument/2006/relationships/hyperlink" Target="https://www.loginextsolutions.com/platform" TargetMode="External"/><Relationship Id="rId18" Type="http://schemas.openxmlformats.org/officeDocument/2006/relationships/hyperlink" Target="https://www.linkedin.com/company/loginext-solutions/" TargetMode="External"/><Relationship Id="rId3" Type="http://schemas.openxmlformats.org/officeDocument/2006/relationships/hyperlink" Target="https://www.mojro.com/resources" TargetMode="External"/><Relationship Id="rId7" Type="http://schemas.openxmlformats.org/officeDocument/2006/relationships/hyperlink" Target="https://www.mojro.com/resources" TargetMode="External"/><Relationship Id="rId12" Type="http://schemas.openxmlformats.org/officeDocument/2006/relationships/hyperlink" Target="https://fareye.com/last-mile-delivery" TargetMode="External"/><Relationship Id="rId17" Type="http://schemas.openxmlformats.org/officeDocument/2006/relationships/hyperlink" Target="https://www.loginextsolutions.com/blog" TargetMode="External"/><Relationship Id="rId2" Type="http://schemas.openxmlformats.org/officeDocument/2006/relationships/hyperlink" Target="https://www.mojro.com/resource-how-do-ai-and-ml-make-mojro-the-best-in-class-logistics-optimization-platform" TargetMode="External"/><Relationship Id="rId16" Type="http://schemas.openxmlformats.org/officeDocument/2006/relationships/hyperlink" Target="https://www.loginextsolutions.com/ai-powered-dispatch-platform" TargetMode="External"/><Relationship Id="rId20" Type="http://schemas.openxmlformats.org/officeDocument/2006/relationships/table" Target="../tables/table9.xml"/><Relationship Id="rId1" Type="http://schemas.openxmlformats.org/officeDocument/2006/relationships/hyperlink" Target="https://www.mojro.com/" TargetMode="External"/><Relationship Id="rId6" Type="http://schemas.openxmlformats.org/officeDocument/2006/relationships/hyperlink" Target="https://locus.sh/" TargetMode="External"/><Relationship Id="rId11" Type="http://schemas.openxmlformats.org/officeDocument/2006/relationships/hyperlink" Target="https://fareye.com/solutions" TargetMode="External"/><Relationship Id="rId5" Type="http://schemas.openxmlformats.org/officeDocument/2006/relationships/hyperlink" Target="https://www.mojro.com/logistics-and-supply-chain-management-platform" TargetMode="External"/><Relationship Id="rId15" Type="http://schemas.openxmlformats.org/officeDocument/2006/relationships/hyperlink" Target="https://www.loginextsolutions.com/logistics-management-software" TargetMode="External"/><Relationship Id="rId10" Type="http://schemas.openxmlformats.org/officeDocument/2006/relationships/hyperlink" Target="https://fareye.com/resources/blogs" TargetMode="External"/><Relationship Id="rId19" Type="http://schemas.openxmlformats.org/officeDocument/2006/relationships/hyperlink" Target="https://locus.sh/customer-success-stories/" TargetMode="External"/><Relationship Id="rId4" Type="http://schemas.openxmlformats.org/officeDocument/2006/relationships/hyperlink" Target="https://www.mojro.com/lastmile-delivery-optimization-software" TargetMode="External"/><Relationship Id="rId9" Type="http://schemas.openxmlformats.org/officeDocument/2006/relationships/hyperlink" Target="https://fareye.com/platform" TargetMode="External"/><Relationship Id="rId14" Type="http://schemas.openxmlformats.org/officeDocument/2006/relationships/hyperlink" Target="https://www.loginextsolutions.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7" tint="-0.249977111117893"/>
    <pageSetUpPr autoPageBreaks="0" fitToPage="1"/>
  </sheetPr>
  <dimension ref="A1:H23"/>
  <sheetViews>
    <sheetView showGridLines="0" tabSelected="1" topLeftCell="A14" zoomScale="52" zoomScaleNormal="100" workbookViewId="0">
      <selection activeCell="B2" sqref="B2:F3"/>
    </sheetView>
  </sheetViews>
  <sheetFormatPr defaultColWidth="10.6328125" defaultRowHeight="30" customHeight="1" x14ac:dyDescent="0.35"/>
  <cols>
    <col min="1" max="1" width="2.6328125" style="6" customWidth="1"/>
    <col min="2" max="2" width="34.26953125" style="10" customWidth="1"/>
    <col min="3" max="3" width="100" style="8" customWidth="1"/>
    <col min="4" max="4" width="81.6328125" style="9" customWidth="1"/>
    <col min="5" max="5" width="77.26953125" style="8" customWidth="1"/>
    <col min="6" max="6" width="54.81640625" style="8" customWidth="1"/>
    <col min="7" max="7" width="38.54296875" style="8" customWidth="1"/>
    <col min="8" max="8" width="20.90625" style="6" customWidth="1"/>
    <col min="9" max="16384" width="10.6328125" style="6"/>
  </cols>
  <sheetData>
    <row r="1" spans="1:8" s="2" customFormat="1" ht="20.100000000000001" customHeight="1" x14ac:dyDescent="0.35">
      <c r="H1" s="2" t="s">
        <v>11</v>
      </c>
    </row>
    <row r="2" spans="1:8" s="2" customFormat="1" ht="45" customHeight="1" x14ac:dyDescent="0.4">
      <c r="B2" s="70" t="s">
        <v>12</v>
      </c>
      <c r="C2" s="70"/>
      <c r="D2" s="70"/>
      <c r="E2" s="70"/>
      <c r="F2" s="70"/>
      <c r="G2" s="12"/>
      <c r="H2" s="13"/>
    </row>
    <row r="3" spans="1:8" s="2" customFormat="1" ht="45" customHeight="1" x14ac:dyDescent="0.35">
      <c r="A3" s="3"/>
      <c r="B3" s="70"/>
      <c r="C3" s="70"/>
      <c r="D3" s="70"/>
      <c r="E3" s="70"/>
      <c r="F3" s="70"/>
      <c r="G3" s="14"/>
      <c r="H3" s="13"/>
    </row>
    <row r="4" spans="1:8" s="2" customFormat="1" ht="15" customHeight="1" x14ac:dyDescent="0.35">
      <c r="A4" s="20"/>
      <c r="B4" s="71" t="s">
        <v>13</v>
      </c>
      <c r="C4" s="72"/>
      <c r="D4" s="72"/>
      <c r="E4" s="72"/>
      <c r="F4" s="72"/>
      <c r="G4" s="21"/>
      <c r="H4" s="13"/>
    </row>
    <row r="5" spans="1:8" s="2" customFormat="1" ht="15" customHeight="1" thickBot="1" x14ac:dyDescent="0.4">
      <c r="A5" s="22"/>
      <c r="B5" s="72"/>
      <c r="C5" s="72"/>
      <c r="D5" s="72"/>
      <c r="E5" s="72"/>
      <c r="F5" s="72"/>
      <c r="G5" s="23"/>
      <c r="H5" s="1"/>
    </row>
    <row r="6" spans="1:8" s="5" customFormat="1" ht="30" customHeight="1" thickTop="1" x14ac:dyDescent="0.3">
      <c r="A6" s="24"/>
      <c r="B6" s="30" t="s">
        <v>19</v>
      </c>
      <c r="C6" s="31" t="s">
        <v>14</v>
      </c>
      <c r="D6" s="31" t="s">
        <v>15</v>
      </c>
      <c r="E6" s="31" t="s">
        <v>16</v>
      </c>
      <c r="F6" s="32" t="s">
        <v>17</v>
      </c>
      <c r="G6" s="25"/>
    </row>
    <row r="7" spans="1:8" ht="30" hidden="1" customHeight="1" x14ac:dyDescent="0.35">
      <c r="A7" s="73"/>
      <c r="B7" s="18" t="s">
        <v>0</v>
      </c>
      <c r="C7" s="26">
        <f ca="1">TODAY()+1</f>
        <v>46076</v>
      </c>
      <c r="D7" s="18" t="s">
        <v>1</v>
      </c>
      <c r="E7" s="18" t="s">
        <v>2</v>
      </c>
      <c r="F7" s="27"/>
      <c r="G7" s="27"/>
    </row>
    <row r="8" spans="1:8" ht="30" hidden="1" customHeight="1" x14ac:dyDescent="0.35">
      <c r="A8" s="73"/>
      <c r="B8" s="18" t="s">
        <v>3</v>
      </c>
      <c r="C8" s="26">
        <f ca="1">TODAY()-1</f>
        <v>46074</v>
      </c>
      <c r="D8" s="18" t="s">
        <v>4</v>
      </c>
      <c r="E8" s="18" t="s">
        <v>5</v>
      </c>
      <c r="F8" s="27"/>
      <c r="G8" s="27"/>
    </row>
    <row r="9" spans="1:8" ht="30" hidden="1" customHeight="1" x14ac:dyDescent="0.35">
      <c r="A9" s="73"/>
      <c r="B9" s="18" t="s">
        <v>3</v>
      </c>
      <c r="C9" s="26">
        <f ca="1">TODAY()+3</f>
        <v>46078</v>
      </c>
      <c r="D9" s="18" t="s">
        <v>6</v>
      </c>
      <c r="E9" s="18" t="s">
        <v>7</v>
      </c>
      <c r="F9" s="27"/>
      <c r="G9" s="27"/>
    </row>
    <row r="10" spans="1:8" ht="30" hidden="1" customHeight="1" x14ac:dyDescent="0.35">
      <c r="A10" s="27"/>
      <c r="B10" s="18" t="s">
        <v>3</v>
      </c>
      <c r="C10" s="26">
        <f ca="1">TODAY()+4</f>
        <v>46079</v>
      </c>
      <c r="D10" s="18" t="s">
        <v>4</v>
      </c>
      <c r="E10" s="18" t="s">
        <v>8</v>
      </c>
      <c r="F10" s="27"/>
      <c r="G10" s="27"/>
    </row>
    <row r="11" spans="1:8" ht="30" hidden="1" customHeight="1" x14ac:dyDescent="0.35">
      <c r="A11" s="27"/>
      <c r="B11" s="18" t="s">
        <v>3</v>
      </c>
      <c r="C11" s="26">
        <f t="shared" ref="C11" ca="1" si="0">TODAY()-1</f>
        <v>46074</v>
      </c>
      <c r="D11" s="18" t="s">
        <v>1</v>
      </c>
      <c r="E11" s="18" t="s">
        <v>9</v>
      </c>
      <c r="F11" s="27"/>
      <c r="G11" s="27"/>
    </row>
    <row r="12" spans="1:8" ht="30" hidden="1" customHeight="1" x14ac:dyDescent="0.35">
      <c r="A12" s="27"/>
      <c r="B12" s="18" t="s">
        <v>10</v>
      </c>
      <c r="C12" s="26">
        <f ca="1">TODAY()</f>
        <v>46075</v>
      </c>
      <c r="D12" s="18" t="s">
        <v>6</v>
      </c>
      <c r="E12" s="18" t="s">
        <v>9</v>
      </c>
      <c r="F12" s="27"/>
      <c r="G12" s="27"/>
    </row>
    <row r="13" spans="1:8" ht="100.05" customHeight="1" x14ac:dyDescent="0.35">
      <c r="A13" s="27"/>
      <c r="B13" s="48" t="s">
        <v>76</v>
      </c>
      <c r="C13" s="44" t="s">
        <v>106</v>
      </c>
      <c r="D13" s="44" t="s">
        <v>105</v>
      </c>
      <c r="E13" s="44" t="s">
        <v>103</v>
      </c>
      <c r="F13" s="44" t="s">
        <v>104</v>
      </c>
      <c r="G13" s="27"/>
    </row>
    <row r="14" spans="1:8" ht="100.05" customHeight="1" x14ac:dyDescent="0.35">
      <c r="A14" s="27"/>
      <c r="B14" s="48" t="s">
        <v>20</v>
      </c>
      <c r="C14" s="44" t="s">
        <v>107</v>
      </c>
      <c r="D14" s="44" t="s">
        <v>108</v>
      </c>
      <c r="E14" s="44" t="s">
        <v>109</v>
      </c>
      <c r="F14" s="44" t="s">
        <v>110</v>
      </c>
      <c r="G14" s="27"/>
    </row>
    <row r="15" spans="1:8" ht="100.05" customHeight="1" x14ac:dyDescent="0.35">
      <c r="A15" s="27"/>
      <c r="B15" s="48" t="s">
        <v>18</v>
      </c>
      <c r="C15" s="44" t="s">
        <v>77</v>
      </c>
      <c r="D15" s="44" t="s">
        <v>111</v>
      </c>
      <c r="E15" s="44" t="s">
        <v>112</v>
      </c>
      <c r="F15" s="44" t="s">
        <v>78</v>
      </c>
      <c r="G15" s="17"/>
    </row>
    <row r="16" spans="1:8" ht="100.05" customHeight="1" x14ac:dyDescent="0.35">
      <c r="A16" s="27"/>
      <c r="B16" s="48" t="s">
        <v>21</v>
      </c>
      <c r="C16" s="44" t="s">
        <v>113</v>
      </c>
      <c r="D16" s="44" t="s">
        <v>114</v>
      </c>
      <c r="E16" s="44" t="s">
        <v>115</v>
      </c>
      <c r="F16" s="44" t="s">
        <v>116</v>
      </c>
      <c r="G16" s="17"/>
    </row>
    <row r="17" spans="1:7" ht="100.05" customHeight="1" x14ac:dyDescent="0.35">
      <c r="A17" s="27"/>
      <c r="B17" s="48" t="s">
        <v>22</v>
      </c>
      <c r="C17" s="44" t="s">
        <v>117</v>
      </c>
      <c r="D17" s="44" t="s">
        <v>118</v>
      </c>
      <c r="E17" s="44" t="s">
        <v>119</v>
      </c>
      <c r="F17" s="44" t="s">
        <v>120</v>
      </c>
      <c r="G17" s="17"/>
    </row>
    <row r="18" spans="1:7" ht="100.05" customHeight="1" x14ac:dyDescent="0.35">
      <c r="A18" s="27"/>
      <c r="B18" s="48" t="s">
        <v>23</v>
      </c>
      <c r="C18" s="44" t="s">
        <v>121</v>
      </c>
      <c r="D18" s="44" t="s">
        <v>122</v>
      </c>
      <c r="E18" s="44" t="s">
        <v>123</v>
      </c>
      <c r="F18" s="44" t="s">
        <v>124</v>
      </c>
      <c r="G18" s="17"/>
    </row>
    <row r="19" spans="1:7" ht="100.05" customHeight="1" x14ac:dyDescent="0.35">
      <c r="A19" s="27"/>
      <c r="B19" s="48" t="s">
        <v>25</v>
      </c>
      <c r="C19" s="44" t="s">
        <v>126</v>
      </c>
      <c r="D19" s="44" t="s">
        <v>127</v>
      </c>
      <c r="E19" s="44" t="s">
        <v>128</v>
      </c>
      <c r="F19" s="44" t="s">
        <v>125</v>
      </c>
      <c r="G19" s="17"/>
    </row>
    <row r="20" spans="1:7" ht="100.05" customHeight="1" x14ac:dyDescent="0.35">
      <c r="A20" s="27"/>
      <c r="B20" s="48" t="s">
        <v>26</v>
      </c>
      <c r="C20" s="44" t="s">
        <v>171</v>
      </c>
      <c r="D20" s="44" t="s">
        <v>131</v>
      </c>
      <c r="E20" s="44" t="s">
        <v>130</v>
      </c>
      <c r="F20" s="44" t="s">
        <v>129</v>
      </c>
      <c r="G20" s="17"/>
    </row>
    <row r="21" spans="1:7" ht="30" customHeight="1" x14ac:dyDescent="0.35">
      <c r="A21" s="27"/>
      <c r="B21" s="36"/>
      <c r="C21" s="17"/>
      <c r="D21" s="19"/>
      <c r="E21" s="17"/>
      <c r="F21" s="17"/>
      <c r="G21" s="17"/>
    </row>
    <row r="22" spans="1:7" ht="30" customHeight="1" x14ac:dyDescent="0.35">
      <c r="A22" s="27"/>
      <c r="B22" s="36"/>
      <c r="C22" s="17"/>
      <c r="D22" s="19"/>
      <c r="E22" s="17"/>
      <c r="F22" s="17"/>
      <c r="G22" s="17"/>
    </row>
    <row r="23" spans="1:7" ht="30" customHeight="1" x14ac:dyDescent="0.35">
      <c r="A23" s="27"/>
      <c r="B23" s="28"/>
      <c r="C23" s="17"/>
      <c r="D23" s="19"/>
      <c r="E23" s="17"/>
      <c r="F23" s="17"/>
      <c r="G23" s="17"/>
    </row>
  </sheetData>
  <mergeCells count="3">
    <mergeCell ref="B2:F3"/>
    <mergeCell ref="B4:F5"/>
    <mergeCell ref="A7:A9"/>
  </mergeCells>
  <phoneticPr fontId="19" type="noConversion"/>
  <conditionalFormatting sqref="B6:E12 F6">
    <cfRule type="expression" dxfId="29" priority="15" stopIfTrue="1">
      <formula>AND(#REF!&lt;&gt;1,$C6&lt;TODAY())</formula>
    </cfRule>
  </conditionalFormatting>
  <conditionalFormatting sqref="B7:E12">
    <cfRule type="expression" dxfId="28" priority="12" stopIfTrue="1">
      <formula>#REF!=1</formula>
    </cfRule>
  </conditionalFormatting>
  <conditionalFormatting sqref="F6 B6:E12">
    <cfRule type="expression" dxfId="27" priority="16" stopIfTrue="1">
      <formula>AND($C6=TODAY(),#REF!=1)</formula>
    </cfRule>
    <cfRule type="expression" dxfId="26" priority="17">
      <formula>$C6=TODAY()</formula>
    </cfRule>
  </conditionalFormatting>
  <dataValidations count="10">
    <dataValidation type="list" errorStyle="warning" allowBlank="1" showInputMessage="1" showErrorMessage="1" error="Select Priority from the list. Select CANCEL, press ALT+DOWN ARROW for options, then DOWN ARROW and ENTER to make selection" sqref="D7:D12" xr:uid="{00000000-0002-0000-0000-000000000000}">
      <formula1>"High,Medium,Low"</formula1>
    </dataValidation>
    <dataValidation type="list" errorStyle="warning" allowBlank="1" showInputMessage="1" showErrorMessage="1" error="Select Assigned to names from the list. Select CANCEL, press ALT+DOWN ARROW for options, then DOWN ARROW and ENTER to make selection" sqref="E7:E12" xr:uid="{00000000-0002-0000-0000-000001000000}">
      <formula1>Assignedto</formula1>
    </dataValidation>
    <dataValidation allowBlank="1" showInputMessage="1" showErrorMessage="1" prompt="Create To Do List in this workbook. Enter details in To Do List table in this worksheet. Select cell F3 to navigate to Setup worksheet. Due &amp; Overdue days are automatically updated" sqref="A1:E1" xr:uid="{00000000-0002-0000-0000-000002000000}"/>
    <dataValidation allowBlank="1" showInputMessage="1" showErrorMessage="1" prompt="Navigation link to Assignment Setup worksheet" sqref="G3" xr:uid="{00000000-0002-0000-0000-000003000000}"/>
    <dataValidation allowBlank="1" showInputMessage="1" showErrorMessage="1" prompt="Date is automatically updated in this cell and Due Today and Overdue days in cells C5 and C6" sqref="G2" xr:uid="{00000000-0002-0000-0000-000004000000}"/>
    <dataValidation allowBlank="1" showInputMessage="1" showErrorMessage="1" prompt="Enter Description in this column under this heading" sqref="B6" xr:uid="{00000000-0002-0000-0000-000007000000}"/>
    <dataValidation allowBlank="1" showInputMessage="1" showErrorMessage="1" prompt="Enter Due Date in this column under this heading" sqref="C6" xr:uid="{00000000-0002-0000-0000-000008000000}"/>
    <dataValidation allowBlank="1" showInputMessage="1" showErrorMessage="1" prompt="Select Priority in this column under this heading. Press ALT+DOWN ARROW for options, then DOWN ARROW and ENTER to make selection" sqref="D6" xr:uid="{00000000-0002-0000-0000-000009000000}"/>
    <dataValidation allowBlank="1" showInputMessage="1" showErrorMessage="1" prompt="Select Assigned to names in this column under this heading. Press ALT+DOWN ARROW for options, then DOWN ARROW and ENTER to make selection" sqref="E6:F6" xr:uid="{00000000-0002-0000-0000-00000A000000}"/>
    <dataValidation allowBlank="1" showInputMessage="1" showErrorMessage="1" prompt="Title of this worksheet is in this cell. Date is automatically updated in cell E2, and Due Today and Overdue days in cells C5 and C6." sqref="B2" xr:uid="{27BCD6E5-DC04-4E40-8871-85A1CE143B4B}"/>
  </dataValidations>
  <printOptions horizontalCentered="1"/>
  <pageMargins left="0.5" right="0.5" top="0.75" bottom="0.75" header="0.3" footer="0.3"/>
  <pageSetup scale="38" fitToHeight="0"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422153-E9EB-4E0A-AD44-19210D5597AF}">
  <sheetPr>
    <tabColor rgb="FF0070C0"/>
  </sheetPr>
  <dimension ref="A1:J14"/>
  <sheetViews>
    <sheetView showGridLines="0" zoomScale="36" workbookViewId="0">
      <selection activeCell="F8" sqref="F8"/>
    </sheetView>
  </sheetViews>
  <sheetFormatPr defaultRowHeight="15" x14ac:dyDescent="0.35"/>
  <cols>
    <col min="1" max="1" width="3.26953125" customWidth="1"/>
    <col min="2" max="2" width="34.26953125" customWidth="1"/>
    <col min="3" max="3" width="61.7265625" customWidth="1"/>
    <col min="4" max="4" width="63.453125" customWidth="1"/>
    <col min="5" max="5" width="61" customWidth="1"/>
    <col min="6" max="6" width="56.26953125" customWidth="1"/>
  </cols>
  <sheetData>
    <row r="1" spans="1:10" x14ac:dyDescent="0.35">
      <c r="A1" s="2"/>
      <c r="B1" s="2"/>
      <c r="C1" s="2"/>
      <c r="D1" s="2"/>
      <c r="E1" s="2"/>
      <c r="F1" s="2"/>
    </row>
    <row r="2" spans="1:10" ht="49.95" customHeight="1" x14ac:dyDescent="0.35">
      <c r="A2" s="2"/>
      <c r="B2" s="70" t="s">
        <v>24</v>
      </c>
      <c r="C2" s="70"/>
      <c r="D2" s="70"/>
      <c r="E2" s="70"/>
      <c r="F2" s="70"/>
    </row>
    <row r="3" spans="1:10" ht="49.95" customHeight="1" x14ac:dyDescent="0.35">
      <c r="A3" s="3"/>
      <c r="B3" s="70"/>
      <c r="C3" s="70"/>
      <c r="D3" s="70"/>
      <c r="E3" s="70"/>
      <c r="F3" s="70"/>
    </row>
    <row r="4" spans="1:10" x14ac:dyDescent="0.35">
      <c r="A4" s="3"/>
      <c r="B4" s="74" t="s">
        <v>13</v>
      </c>
      <c r="C4" s="75"/>
      <c r="D4" s="75"/>
      <c r="E4" s="75"/>
      <c r="F4" s="75"/>
    </row>
    <row r="5" spans="1:10" ht="15.6" thickBot="1" x14ac:dyDescent="0.4">
      <c r="A5" s="2"/>
      <c r="B5" s="75"/>
      <c r="C5" s="75"/>
      <c r="D5" s="75"/>
      <c r="E5" s="75"/>
      <c r="F5" s="75"/>
    </row>
    <row r="6" spans="1:10" ht="30" customHeight="1" thickTop="1" x14ac:dyDescent="0.25">
      <c r="A6" s="4"/>
      <c r="B6" s="30" t="s">
        <v>19</v>
      </c>
      <c r="C6" s="34" t="s">
        <v>14</v>
      </c>
      <c r="D6" s="34" t="s">
        <v>15</v>
      </c>
      <c r="E6" s="34" t="s">
        <v>16</v>
      </c>
      <c r="F6" s="35" t="s">
        <v>17</v>
      </c>
    </row>
    <row r="7" spans="1:10" ht="109.95" customHeight="1" x14ac:dyDescent="0.35">
      <c r="A7" s="6"/>
      <c r="B7" s="48" t="s">
        <v>148</v>
      </c>
      <c r="C7" s="44" t="s">
        <v>153</v>
      </c>
      <c r="D7" s="44" t="s">
        <v>154</v>
      </c>
      <c r="E7" s="44" t="s">
        <v>164</v>
      </c>
      <c r="F7" s="44" t="s">
        <v>155</v>
      </c>
    </row>
    <row r="8" spans="1:10" ht="109.95" customHeight="1" x14ac:dyDescent="0.35">
      <c r="A8" s="6"/>
      <c r="B8" s="48" t="s">
        <v>27</v>
      </c>
      <c r="C8" s="44" t="s">
        <v>163</v>
      </c>
      <c r="D8" s="44" t="s">
        <v>136</v>
      </c>
      <c r="E8" s="44" t="s">
        <v>137</v>
      </c>
      <c r="F8" s="44" t="s">
        <v>165</v>
      </c>
      <c r="J8" s="49"/>
    </row>
    <row r="9" spans="1:10" ht="109.95" customHeight="1" x14ac:dyDescent="0.35">
      <c r="A9" s="6"/>
      <c r="B9" s="48" t="s">
        <v>149</v>
      </c>
      <c r="C9" s="44" t="s">
        <v>150</v>
      </c>
      <c r="D9" s="44" t="s">
        <v>172</v>
      </c>
      <c r="E9" s="44" t="s">
        <v>151</v>
      </c>
      <c r="F9" s="44" t="s">
        <v>152</v>
      </c>
    </row>
    <row r="10" spans="1:10" ht="109.95" customHeight="1" x14ac:dyDescent="0.35">
      <c r="A10" s="6"/>
      <c r="B10" s="48" t="s">
        <v>28</v>
      </c>
      <c r="C10" s="44" t="s">
        <v>166</v>
      </c>
      <c r="D10" s="44" t="s">
        <v>167</v>
      </c>
      <c r="E10" s="44" t="s">
        <v>135</v>
      </c>
      <c r="F10" s="44" t="s">
        <v>168</v>
      </c>
    </row>
    <row r="11" spans="1:10" ht="109.95" customHeight="1" x14ac:dyDescent="0.35">
      <c r="A11" s="6"/>
      <c r="B11" s="48" t="s">
        <v>29</v>
      </c>
      <c r="C11" s="44" t="s">
        <v>141</v>
      </c>
      <c r="D11" s="44" t="s">
        <v>132</v>
      </c>
      <c r="E11" s="44" t="s">
        <v>133</v>
      </c>
      <c r="F11" s="44" t="s">
        <v>134</v>
      </c>
    </row>
    <row r="12" spans="1:10" ht="109.95" customHeight="1" x14ac:dyDescent="0.35">
      <c r="A12" s="6"/>
      <c r="B12" s="48" t="s">
        <v>138</v>
      </c>
      <c r="C12" s="44" t="s">
        <v>139</v>
      </c>
      <c r="D12" s="44" t="s">
        <v>156</v>
      </c>
      <c r="E12" s="44" t="s">
        <v>157</v>
      </c>
      <c r="F12" s="44" t="s">
        <v>140</v>
      </c>
    </row>
    <row r="13" spans="1:10" ht="21" x14ac:dyDescent="0.35">
      <c r="A13" s="6"/>
      <c r="B13" s="37"/>
      <c r="C13" s="38"/>
      <c r="D13" s="38"/>
      <c r="E13" s="38"/>
      <c r="F13" s="38"/>
    </row>
    <row r="14" spans="1:10" ht="49.95" customHeight="1" x14ac:dyDescent="0.35">
      <c r="B14" s="76" t="s">
        <v>170</v>
      </c>
      <c r="C14" s="77"/>
      <c r="D14" s="77"/>
      <c r="E14" s="77"/>
      <c r="F14" s="77"/>
    </row>
  </sheetData>
  <mergeCells count="3">
    <mergeCell ref="B2:F3"/>
    <mergeCell ref="B4:F5"/>
    <mergeCell ref="B14:F14"/>
  </mergeCells>
  <conditionalFormatting sqref="B6:F6">
    <cfRule type="expression" dxfId="25" priority="2" stopIfTrue="1">
      <formula>AND(#REF!&lt;&gt;1,$C6&lt;TODAY())</formula>
    </cfRule>
    <cfRule type="expression" dxfId="24" priority="3" stopIfTrue="1">
      <formula>AND($C6=TODAY(),#REF!=1)</formula>
    </cfRule>
    <cfRule type="expression" dxfId="23" priority="4">
      <formula>$C6=TODAY()</formula>
    </cfRule>
  </conditionalFormatting>
  <dataValidations count="6">
    <dataValidation allowBlank="1" showInputMessage="1" showErrorMessage="1" prompt="Title of this worksheet is in this cell. Date is automatically updated in cell E2, and Due Today and Overdue days in cells C5 and C6." sqref="B2" xr:uid="{C552076C-1416-4895-A1A5-19AE63ADB625}"/>
    <dataValidation allowBlank="1" showInputMessage="1" showErrorMessage="1" prompt="Select Assigned to names in this column under this heading. Press ALT+DOWN ARROW for options, then DOWN ARROW and ENTER to make selection" sqref="E6:F6" xr:uid="{CEB50675-06B7-482C-A9E6-AA79D16AA5B5}"/>
    <dataValidation allowBlank="1" showInputMessage="1" showErrorMessage="1" prompt="Select Priority in this column under this heading. Press ALT+DOWN ARROW for options, then DOWN ARROW and ENTER to make selection" sqref="D6" xr:uid="{F7CA3F51-1025-4D46-A0DC-03FFD4C7BB12}"/>
    <dataValidation allowBlank="1" showInputMessage="1" showErrorMessage="1" prompt="Enter Due Date in this column under this heading" sqref="C6" xr:uid="{A2878015-1F52-4B60-A359-90CB4DE64705}"/>
    <dataValidation allowBlank="1" showInputMessage="1" showErrorMessage="1" prompt="Enter Description in this column under this heading" sqref="B6" xr:uid="{C93E73EA-40B6-4647-A7A5-ECCD79582934}"/>
    <dataValidation allowBlank="1" showInputMessage="1" showErrorMessage="1" prompt="Create To Do List in this workbook. Enter details in To Do List table in this worksheet. Select cell F3 to navigate to Setup worksheet. Due &amp; Overdue days are automatically updated" sqref="A1:E1" xr:uid="{055B8454-78F4-4EAD-BED5-D02E60898EFE}"/>
  </dataValidation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E31E4-B453-4CB5-98D0-A53C758865AD}">
  <sheetPr>
    <tabColor rgb="FF00B050"/>
  </sheetPr>
  <dimension ref="A1:F16"/>
  <sheetViews>
    <sheetView showGridLines="0" zoomScale="57" workbookViewId="0">
      <selection activeCell="H7" sqref="H7"/>
    </sheetView>
  </sheetViews>
  <sheetFormatPr defaultRowHeight="15" x14ac:dyDescent="0.35"/>
  <cols>
    <col min="1" max="1" width="3.26953125" customWidth="1"/>
    <col min="2" max="2" width="44.6328125" customWidth="1"/>
    <col min="3" max="3" width="55.7265625" customWidth="1"/>
    <col min="4" max="4" width="59.1796875" customWidth="1"/>
    <col min="5" max="5" width="53.90625" customWidth="1"/>
    <col min="6" max="6" width="51.1796875" customWidth="1"/>
  </cols>
  <sheetData>
    <row r="1" spans="1:6" x14ac:dyDescent="0.35">
      <c r="A1" s="2"/>
      <c r="B1" s="2"/>
      <c r="C1" s="2"/>
      <c r="D1" s="2"/>
      <c r="E1" s="2"/>
      <c r="F1" s="2"/>
    </row>
    <row r="2" spans="1:6" ht="49.95" customHeight="1" x14ac:dyDescent="0.35">
      <c r="A2" s="2"/>
      <c r="B2" s="70" t="s">
        <v>43</v>
      </c>
      <c r="C2" s="70"/>
      <c r="D2" s="70"/>
      <c r="E2" s="70"/>
      <c r="F2" s="70"/>
    </row>
    <row r="3" spans="1:6" ht="49.95" customHeight="1" x14ac:dyDescent="0.35">
      <c r="A3" s="3"/>
      <c r="B3" s="70"/>
      <c r="C3" s="70"/>
      <c r="D3" s="70"/>
      <c r="E3" s="70"/>
      <c r="F3" s="70"/>
    </row>
    <row r="4" spans="1:6" x14ac:dyDescent="0.35">
      <c r="A4" s="3"/>
      <c r="B4" s="74" t="s">
        <v>13</v>
      </c>
      <c r="C4" s="75"/>
      <c r="D4" s="75"/>
      <c r="E4" s="75"/>
      <c r="F4" s="75"/>
    </row>
    <row r="5" spans="1:6" ht="15.6" thickBot="1" x14ac:dyDescent="0.4">
      <c r="A5" s="2"/>
      <c r="B5" s="75"/>
      <c r="C5" s="75"/>
      <c r="D5" s="75"/>
      <c r="E5" s="75"/>
      <c r="F5" s="75"/>
    </row>
    <row r="6" spans="1:6" ht="30" customHeight="1" thickTop="1" x14ac:dyDescent="0.25">
      <c r="A6" s="4"/>
      <c r="B6" s="33" t="s">
        <v>19</v>
      </c>
      <c r="C6" s="29" t="s">
        <v>14</v>
      </c>
      <c r="D6" s="29" t="s">
        <v>15</v>
      </c>
      <c r="E6" s="29" t="s">
        <v>16</v>
      </c>
      <c r="F6" s="40" t="s">
        <v>17</v>
      </c>
    </row>
    <row r="7" spans="1:6" ht="79.95" customHeight="1" x14ac:dyDescent="0.35">
      <c r="A7" s="6"/>
      <c r="B7" s="48" t="s">
        <v>30</v>
      </c>
      <c r="C7" s="44" t="s">
        <v>158</v>
      </c>
      <c r="D7" s="44" t="s">
        <v>169</v>
      </c>
      <c r="E7" s="44" t="s">
        <v>32</v>
      </c>
      <c r="F7" s="44" t="s">
        <v>33</v>
      </c>
    </row>
    <row r="8" spans="1:6" ht="79.95" customHeight="1" x14ac:dyDescent="0.35">
      <c r="A8" s="6"/>
      <c r="B8" s="48" t="s">
        <v>34</v>
      </c>
      <c r="C8" s="44" t="s">
        <v>66</v>
      </c>
      <c r="D8" s="44" t="s">
        <v>67</v>
      </c>
      <c r="E8" s="44" t="s">
        <v>68</v>
      </c>
      <c r="F8" s="44" t="s">
        <v>69</v>
      </c>
    </row>
    <row r="9" spans="1:6" ht="79.95" customHeight="1" x14ac:dyDescent="0.35">
      <c r="A9" s="6"/>
      <c r="B9" s="48" t="s">
        <v>35</v>
      </c>
      <c r="C9" s="44" t="s">
        <v>70</v>
      </c>
      <c r="D9" s="44" t="s">
        <v>142</v>
      </c>
      <c r="E9" s="44" t="s">
        <v>71</v>
      </c>
      <c r="F9" s="44" t="s">
        <v>36</v>
      </c>
    </row>
    <row r="10" spans="1:6" ht="79.95" customHeight="1" x14ac:dyDescent="0.35">
      <c r="A10" s="6"/>
      <c r="B10" s="48" t="s">
        <v>37</v>
      </c>
      <c r="C10" s="44" t="s">
        <v>72</v>
      </c>
      <c r="D10" s="44" t="s">
        <v>73</v>
      </c>
      <c r="E10" s="44" t="s">
        <v>74</v>
      </c>
      <c r="F10" s="44" t="s">
        <v>75</v>
      </c>
    </row>
    <row r="11" spans="1:6" ht="79.95" customHeight="1" x14ac:dyDescent="0.35">
      <c r="A11" s="6"/>
      <c r="B11" s="48" t="s">
        <v>38</v>
      </c>
      <c r="C11" s="44" t="s">
        <v>39</v>
      </c>
      <c r="D11" s="44" t="s">
        <v>40</v>
      </c>
      <c r="E11" s="44" t="s">
        <v>41</v>
      </c>
      <c r="F11" s="44" t="s">
        <v>42</v>
      </c>
    </row>
    <row r="12" spans="1:6" ht="79.95" customHeight="1" x14ac:dyDescent="0.35">
      <c r="A12" s="6"/>
      <c r="B12" s="48" t="s">
        <v>31</v>
      </c>
      <c r="C12" s="44" t="s">
        <v>162</v>
      </c>
      <c r="D12" s="44" t="s">
        <v>161</v>
      </c>
      <c r="E12" s="44" t="s">
        <v>160</v>
      </c>
      <c r="F12" s="44" t="s">
        <v>159</v>
      </c>
    </row>
    <row r="13" spans="1:6" ht="79.95" customHeight="1" x14ac:dyDescent="0.35">
      <c r="A13" s="6"/>
      <c r="B13" s="39"/>
      <c r="C13" s="38"/>
      <c r="D13" s="38"/>
      <c r="E13" s="38"/>
      <c r="F13" s="38"/>
    </row>
    <row r="14" spans="1:6" ht="21.6" x14ac:dyDescent="0.35">
      <c r="B14" s="39"/>
      <c r="C14" s="38"/>
      <c r="D14" s="38"/>
      <c r="E14" s="38"/>
      <c r="F14" s="38"/>
    </row>
    <row r="15" spans="1:6" ht="21.6" x14ac:dyDescent="0.35">
      <c r="B15" s="39"/>
      <c r="C15" s="38"/>
      <c r="D15" s="38"/>
      <c r="E15" s="38"/>
      <c r="F15" s="38"/>
    </row>
    <row r="16" spans="1:6" ht="21.6" x14ac:dyDescent="0.35">
      <c r="B16" s="39"/>
    </row>
  </sheetData>
  <mergeCells count="2">
    <mergeCell ref="B2:F3"/>
    <mergeCell ref="B4:F5"/>
  </mergeCells>
  <conditionalFormatting sqref="B6:F6">
    <cfRule type="expression" dxfId="22" priority="2" stopIfTrue="1">
      <formula>AND(#REF!&lt;&gt;1,$C6&lt;TODAY())</formula>
    </cfRule>
    <cfRule type="expression" dxfId="21" priority="3" stopIfTrue="1">
      <formula>AND($C6=TODAY(),#REF!=1)</formula>
    </cfRule>
    <cfRule type="expression" dxfId="20" priority="4">
      <formula>$C6=TODAY()</formula>
    </cfRule>
  </conditionalFormatting>
  <dataValidations count="6">
    <dataValidation allowBlank="1" showInputMessage="1" showErrorMessage="1" prompt="Create To Do List in this workbook. Enter details in To Do List table in this worksheet. Select cell F3 to navigate to Setup worksheet. Due &amp; Overdue days are automatically updated" sqref="A1:E1" xr:uid="{DF62DADD-88C9-4B25-8AEA-4446AA6E7A90}"/>
    <dataValidation allowBlank="1" showInputMessage="1" showErrorMessage="1" prompt="Enter Description in this column under this heading" sqref="B6" xr:uid="{4D26E1FA-9DFC-4B40-B02F-F15BD4B7FBB0}"/>
    <dataValidation allowBlank="1" showInputMessage="1" showErrorMessage="1" prompt="Enter Due Date in this column under this heading" sqref="C6" xr:uid="{021E535C-9EEF-4888-9C1B-A0E813326D62}"/>
    <dataValidation allowBlank="1" showInputMessage="1" showErrorMessage="1" prompt="Select Priority in this column under this heading. Press ALT+DOWN ARROW for options, then DOWN ARROW and ENTER to make selection" sqref="D6" xr:uid="{043D4D5A-739A-4B70-9A8D-E4043477B22E}"/>
    <dataValidation allowBlank="1" showInputMessage="1" showErrorMessage="1" prompt="Select Assigned to names in this column under this heading. Press ALT+DOWN ARROW for options, then DOWN ARROW and ENTER to make selection" sqref="E6:F6" xr:uid="{DA4374F4-1FA4-42D1-9A29-581FA81B334D}"/>
    <dataValidation allowBlank="1" showInputMessage="1" showErrorMessage="1" prompt="Title of this worksheet is in this cell. Date is automatically updated in cell E2, and Due Today and Overdue days in cells C5 and C6." sqref="B2" xr:uid="{0D1BB922-1E31-41BA-90EC-D8998CBD500C}"/>
  </dataValidations>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38BE0F-D6B1-45FC-AF20-FBF30B64AAA1}">
  <sheetPr>
    <tabColor rgb="FFF63636"/>
  </sheetPr>
  <dimension ref="A1:F25"/>
  <sheetViews>
    <sheetView zoomScale="43" workbookViewId="0">
      <selection activeCell="I8" sqref="I8"/>
    </sheetView>
  </sheetViews>
  <sheetFormatPr defaultRowHeight="15" x14ac:dyDescent="0.35"/>
  <cols>
    <col min="1" max="1" width="3.26953125" customWidth="1"/>
    <col min="2" max="2" width="34.26953125" customWidth="1"/>
    <col min="3" max="3" width="117.6328125" customWidth="1"/>
    <col min="4" max="4" width="11.08984375" customWidth="1"/>
    <col min="5" max="5" width="43.90625" customWidth="1"/>
    <col min="6" max="6" width="122.08984375" customWidth="1"/>
  </cols>
  <sheetData>
    <row r="1" spans="1:6" x14ac:dyDescent="0.35">
      <c r="A1" s="2"/>
      <c r="B1" s="2"/>
      <c r="D1" s="2"/>
      <c r="E1" s="2"/>
    </row>
    <row r="2" spans="1:6" ht="49.95" customHeight="1" x14ac:dyDescent="0.35">
      <c r="A2" s="2"/>
      <c r="B2" s="70" t="s">
        <v>14</v>
      </c>
      <c r="C2" s="70"/>
      <c r="D2" s="41"/>
      <c r="E2" s="81" t="s">
        <v>15</v>
      </c>
      <c r="F2" s="81"/>
    </row>
    <row r="3" spans="1:6" ht="49.95" customHeight="1" x14ac:dyDescent="0.35">
      <c r="A3" s="3"/>
      <c r="B3" s="70"/>
      <c r="C3" s="70"/>
      <c r="D3" s="41"/>
      <c r="E3" s="81"/>
      <c r="F3" s="81"/>
    </row>
    <row r="4" spans="1:6" ht="15" customHeight="1" x14ac:dyDescent="0.35">
      <c r="A4" s="3"/>
      <c r="B4" s="74" t="s">
        <v>48</v>
      </c>
      <c r="C4" s="74"/>
      <c r="D4" s="42"/>
      <c r="E4" s="82" t="s">
        <v>48</v>
      </c>
      <c r="F4" s="83"/>
    </row>
    <row r="5" spans="1:6" ht="15" customHeight="1" x14ac:dyDescent="0.35">
      <c r="A5" s="2"/>
      <c r="B5" s="74"/>
      <c r="C5" s="74"/>
      <c r="D5" s="42"/>
      <c r="E5" s="83"/>
      <c r="F5" s="83"/>
    </row>
    <row r="6" spans="1:6" ht="0.15" customHeight="1" x14ac:dyDescent="0.25">
      <c r="A6" s="4"/>
      <c r="B6" s="7" t="s">
        <v>11</v>
      </c>
      <c r="C6" s="11" t="s">
        <v>49</v>
      </c>
      <c r="D6" s="16"/>
      <c r="E6" s="46" t="s">
        <v>11</v>
      </c>
      <c r="F6" s="45" t="s">
        <v>49</v>
      </c>
    </row>
    <row r="7" spans="1:6" ht="180" customHeight="1" x14ac:dyDescent="0.35">
      <c r="A7" s="6"/>
      <c r="B7" s="43" t="s">
        <v>44</v>
      </c>
      <c r="C7" s="44" t="s">
        <v>56</v>
      </c>
      <c r="D7" s="16"/>
      <c r="E7" s="47" t="s">
        <v>44</v>
      </c>
      <c r="F7" s="44" t="s">
        <v>51</v>
      </c>
    </row>
    <row r="8" spans="1:6" ht="180" customHeight="1" x14ac:dyDescent="0.35">
      <c r="A8" s="6"/>
      <c r="B8" s="43" t="s">
        <v>45</v>
      </c>
      <c r="C8" s="44" t="s">
        <v>50</v>
      </c>
      <c r="E8" s="62" t="s">
        <v>45</v>
      </c>
      <c r="F8" s="64" t="s">
        <v>52</v>
      </c>
    </row>
    <row r="9" spans="1:6" ht="180" customHeight="1" x14ac:dyDescent="0.35">
      <c r="A9" s="6"/>
      <c r="B9" s="43" t="s">
        <v>46</v>
      </c>
      <c r="C9" s="44" t="s">
        <v>65</v>
      </c>
      <c r="E9" s="65" t="s">
        <v>46</v>
      </c>
      <c r="F9" s="66" t="s">
        <v>53</v>
      </c>
    </row>
    <row r="10" spans="1:6" ht="150" customHeight="1" x14ac:dyDescent="0.35">
      <c r="A10" s="6"/>
      <c r="B10" s="43" t="s">
        <v>47</v>
      </c>
      <c r="C10" s="44" t="s">
        <v>55</v>
      </c>
      <c r="E10" s="63" t="s">
        <v>47</v>
      </c>
      <c r="F10" s="67" t="s">
        <v>54</v>
      </c>
    </row>
    <row r="11" spans="1:6" ht="16.2" x14ac:dyDescent="0.35">
      <c r="A11" s="6"/>
    </row>
    <row r="12" spans="1:6" ht="16.2" x14ac:dyDescent="0.35">
      <c r="A12" s="6"/>
    </row>
    <row r="13" spans="1:6" ht="16.2" x14ac:dyDescent="0.35">
      <c r="A13" s="6"/>
    </row>
    <row r="14" spans="1:6" ht="16.2" x14ac:dyDescent="0.35">
      <c r="A14" s="6"/>
    </row>
    <row r="15" spans="1:6" ht="16.2" x14ac:dyDescent="0.35">
      <c r="A15" s="6"/>
    </row>
    <row r="16" spans="1:6" ht="16.2" x14ac:dyDescent="0.35">
      <c r="A16" s="6"/>
    </row>
    <row r="17" spans="2:6" ht="59.4" x14ac:dyDescent="0.35">
      <c r="B17" s="84" t="s">
        <v>16</v>
      </c>
      <c r="C17" s="84"/>
      <c r="D17" s="41"/>
      <c r="E17" s="85" t="s">
        <v>17</v>
      </c>
      <c r="F17" s="85"/>
    </row>
    <row r="18" spans="2:6" ht="59.4" x14ac:dyDescent="0.35">
      <c r="B18" s="84"/>
      <c r="C18" s="84"/>
      <c r="D18" s="41"/>
      <c r="E18" s="85"/>
      <c r="F18" s="85"/>
    </row>
    <row r="19" spans="2:6" ht="24.6" x14ac:dyDescent="0.35">
      <c r="B19" s="78" t="s">
        <v>48</v>
      </c>
      <c r="C19" s="78"/>
      <c r="D19" s="42"/>
      <c r="E19" s="79" t="s">
        <v>48</v>
      </c>
      <c r="F19" s="80"/>
    </row>
    <row r="20" spans="2:6" ht="24.6" x14ac:dyDescent="0.35">
      <c r="B20" s="78"/>
      <c r="C20" s="78"/>
      <c r="D20" s="42"/>
      <c r="E20" s="80"/>
      <c r="F20" s="80"/>
    </row>
    <row r="21" spans="2:6" ht="0.15" customHeight="1" x14ac:dyDescent="0.35">
      <c r="B21" s="7" t="s">
        <v>11</v>
      </c>
      <c r="C21" s="11" t="s">
        <v>49</v>
      </c>
      <c r="D21" s="16"/>
      <c r="E21" s="46" t="s">
        <v>11</v>
      </c>
      <c r="F21" s="45" t="s">
        <v>49</v>
      </c>
    </row>
    <row r="22" spans="2:6" ht="180" customHeight="1" x14ac:dyDescent="0.35">
      <c r="B22" s="47" t="s">
        <v>44</v>
      </c>
      <c r="C22" s="44" t="s">
        <v>57</v>
      </c>
      <c r="D22" s="16"/>
      <c r="E22" s="47" t="s">
        <v>44</v>
      </c>
      <c r="F22" s="44" t="s">
        <v>64</v>
      </c>
    </row>
    <row r="23" spans="2:6" ht="180" customHeight="1" x14ac:dyDescent="0.35">
      <c r="B23" s="47" t="s">
        <v>45</v>
      </c>
      <c r="C23" s="44" t="s">
        <v>58</v>
      </c>
      <c r="E23" s="47" t="s">
        <v>45</v>
      </c>
      <c r="F23" s="44" t="s">
        <v>63</v>
      </c>
    </row>
    <row r="24" spans="2:6" ht="180" customHeight="1" x14ac:dyDescent="0.35">
      <c r="B24" s="47" t="s">
        <v>46</v>
      </c>
      <c r="C24" s="44" t="s">
        <v>59</v>
      </c>
      <c r="E24" s="47" t="s">
        <v>46</v>
      </c>
      <c r="F24" s="44" t="s">
        <v>62</v>
      </c>
    </row>
    <row r="25" spans="2:6" ht="180" customHeight="1" x14ac:dyDescent="0.35">
      <c r="B25" s="47" t="s">
        <v>47</v>
      </c>
      <c r="C25" s="44" t="s">
        <v>60</v>
      </c>
      <c r="E25" s="47" t="s">
        <v>47</v>
      </c>
      <c r="F25" s="44" t="s">
        <v>61</v>
      </c>
    </row>
  </sheetData>
  <mergeCells count="8">
    <mergeCell ref="B19:C20"/>
    <mergeCell ref="E19:F20"/>
    <mergeCell ref="B2:C3"/>
    <mergeCell ref="E2:F3"/>
    <mergeCell ref="B4:C5"/>
    <mergeCell ref="E4:F5"/>
    <mergeCell ref="B17:C18"/>
    <mergeCell ref="E17:F18"/>
  </mergeCells>
  <conditionalFormatting sqref="B6:C6">
    <cfRule type="expression" dxfId="19" priority="10" stopIfTrue="1">
      <formula>AND(#REF!&lt;&gt;1,$C6&lt;TODAY())</formula>
    </cfRule>
    <cfRule type="expression" dxfId="18" priority="11" stopIfTrue="1">
      <formula>AND($C6=TODAY(),#REF!=1)</formula>
    </cfRule>
    <cfRule type="expression" dxfId="17" priority="12">
      <formula>$C6=TODAY()</formula>
    </cfRule>
  </conditionalFormatting>
  <conditionalFormatting sqref="B21:C21">
    <cfRule type="expression" dxfId="16" priority="4" stopIfTrue="1">
      <formula>AND(#REF!&lt;&gt;1,$C21&lt;TODAY())</formula>
    </cfRule>
    <cfRule type="expression" dxfId="15" priority="5" stopIfTrue="1">
      <formula>AND($C21=TODAY(),#REF!=1)</formula>
    </cfRule>
    <cfRule type="expression" dxfId="14" priority="6">
      <formula>$C21=TODAY()</formula>
    </cfRule>
  </conditionalFormatting>
  <conditionalFormatting sqref="E6:F6">
    <cfRule type="expression" dxfId="13" priority="7" stopIfTrue="1">
      <formula>AND(#REF!&lt;&gt;1,$C6&lt;TODAY())</formula>
    </cfRule>
    <cfRule type="expression" dxfId="12" priority="8" stopIfTrue="1">
      <formula>AND($C6=TODAY(),#REF!=1)</formula>
    </cfRule>
    <cfRule type="expression" dxfId="11" priority="9">
      <formula>$C6=TODAY()</formula>
    </cfRule>
  </conditionalFormatting>
  <conditionalFormatting sqref="E21:F21">
    <cfRule type="expression" dxfId="10" priority="1" stopIfTrue="1">
      <formula>AND(#REF!&lt;&gt;1,$C21&lt;TODAY())</formula>
    </cfRule>
    <cfRule type="expression" dxfId="9" priority="2" stopIfTrue="1">
      <formula>AND($C21=TODAY(),#REF!=1)</formula>
    </cfRule>
    <cfRule type="expression" dxfId="8" priority="3">
      <formula>$C21=TODAY()</formula>
    </cfRule>
  </conditionalFormatting>
  <dataValidations count="4">
    <dataValidation allowBlank="1" showInputMessage="1" showErrorMessage="1" prompt="Create To Do List in this workbook. Enter details in To Do List table in this worksheet. Select cell F3 to navigate to Setup worksheet. Due &amp; Overdue days are automatically updated" sqref="A1:B1 D1:E1" xr:uid="{99E560F6-F0FA-4B4C-B192-D7E44212EAE3}"/>
    <dataValidation allowBlank="1" showInputMessage="1" showErrorMessage="1" prompt="Enter Description in this column under this heading" sqref="B6 E6 B21 E21" xr:uid="{31CCFB8D-D03F-4E08-B965-A6BDAAC2193D}"/>
    <dataValidation allowBlank="1" showInputMessage="1" showErrorMessage="1" prompt="Enter Due Date in this column under this heading" sqref="C6 F6 C21 F21" xr:uid="{C5E58A81-3E1E-4785-BB2C-C6D9FDA8BB45}"/>
    <dataValidation allowBlank="1" showInputMessage="1" showErrorMessage="1" prompt="Title of this worksheet is in this cell. Date is automatically updated in cell E2, and Due Today and Overdue days in cells C5 and C6." sqref="B2 E2 B17 E17" xr:uid="{B3B0F0CA-E669-465A-96D8-AB70AFCACD21}"/>
  </dataValidations>
  <pageMargins left="0.7" right="0.7" top="0.75" bottom="0.75" header="0.3" footer="0.3"/>
  <tableParts count="4">
    <tablePart r:id="rId1"/>
    <tablePart r:id="rId2"/>
    <tablePart r:id="rId3"/>
    <tablePart r:id="rId4"/>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E8DEC8-3EC5-4210-BF95-3102A0A426D6}">
  <sheetPr>
    <tabColor theme="9" tint="-0.249977111117893"/>
  </sheetPr>
  <dimension ref="A1:F9"/>
  <sheetViews>
    <sheetView zoomScale="68" workbookViewId="0">
      <selection activeCell="B21" sqref="B21"/>
    </sheetView>
  </sheetViews>
  <sheetFormatPr defaultRowHeight="15" x14ac:dyDescent="0.35"/>
  <cols>
    <col min="1" max="1" width="3.26953125" customWidth="1"/>
    <col min="2" max="2" width="255.54296875" customWidth="1"/>
    <col min="3" max="3" width="44.54296875" customWidth="1"/>
    <col min="4" max="4" width="40.453125" customWidth="1"/>
    <col min="5" max="5" width="39.1796875" customWidth="1"/>
    <col min="6" max="6" width="38.54296875" customWidth="1"/>
  </cols>
  <sheetData>
    <row r="1" spans="1:6" x14ac:dyDescent="0.35">
      <c r="A1" s="2"/>
      <c r="B1" s="2"/>
      <c r="C1" s="2"/>
      <c r="D1" s="2"/>
      <c r="E1" s="2"/>
      <c r="F1" s="2"/>
    </row>
    <row r="2" spans="1:6" ht="0.15" customHeight="1" x14ac:dyDescent="0.25">
      <c r="A2" s="4"/>
      <c r="B2" s="7" t="s">
        <v>19</v>
      </c>
    </row>
    <row r="3" spans="1:6" ht="210" customHeight="1" x14ac:dyDescent="0.35">
      <c r="A3" s="6"/>
      <c r="B3" s="68" t="s">
        <v>79</v>
      </c>
    </row>
    <row r="4" spans="1:6" ht="25.05" customHeight="1" x14ac:dyDescent="0.35">
      <c r="A4" s="6"/>
      <c r="B4" s="51"/>
    </row>
    <row r="5" spans="1:6" ht="270" customHeight="1" x14ac:dyDescent="0.35">
      <c r="A5" s="6"/>
      <c r="B5" s="69" t="s">
        <v>80</v>
      </c>
    </row>
    <row r="6" spans="1:6" ht="16.5" customHeight="1" x14ac:dyDescent="0.35">
      <c r="A6" s="6"/>
      <c r="B6" s="15"/>
    </row>
    <row r="7" spans="1:6" ht="16.5" customHeight="1" x14ac:dyDescent="0.35">
      <c r="A7" s="6"/>
      <c r="B7" s="15"/>
    </row>
    <row r="8" spans="1:6" ht="16.5" customHeight="1" x14ac:dyDescent="0.35">
      <c r="A8" s="6"/>
      <c r="B8" s="15"/>
    </row>
    <row r="9" spans="1:6" ht="16.2" x14ac:dyDescent="0.35">
      <c r="A9" s="6"/>
    </row>
  </sheetData>
  <conditionalFormatting sqref="B2:B5">
    <cfRule type="expression" dxfId="7" priority="2" stopIfTrue="1">
      <formula>AND(#REF!&lt;&gt;1,#REF!&lt;TODAY())</formula>
    </cfRule>
    <cfRule type="expression" dxfId="6" priority="3" stopIfTrue="1">
      <formula>AND(#REF!=TODAY(),#REF!=1)</formula>
    </cfRule>
    <cfRule type="expression" dxfId="5" priority="4">
      <formula>#REF!=TODAY()</formula>
    </cfRule>
  </conditionalFormatting>
  <conditionalFormatting sqref="B3:B5">
    <cfRule type="expression" dxfId="4" priority="1" stopIfTrue="1">
      <formula>#REF!=1</formula>
    </cfRule>
  </conditionalFormatting>
  <dataValidations count="2">
    <dataValidation allowBlank="1" showInputMessage="1" showErrorMessage="1" prompt="Create To Do List in this workbook. Enter details in To Do List table in this worksheet. Select cell F3 to navigate to Setup worksheet. Due &amp; Overdue days are automatically updated" sqref="A1:E1" xr:uid="{1E07D288-3009-4CA8-9E04-EE02B1957B1F}"/>
    <dataValidation allowBlank="1" showInputMessage="1" showErrorMessage="1" prompt="Enter Description in this column under this heading" sqref="B2" xr:uid="{EB286D6A-A6E8-4CF2-BAD4-60F81F33615E}"/>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062A30-300F-416E-878A-F3499DCEBE77}">
  <sheetPr>
    <tabColor rgb="FFFFFF4F"/>
  </sheetPr>
  <dimension ref="A1:B82"/>
  <sheetViews>
    <sheetView topLeftCell="A19" zoomScale="68" workbookViewId="0">
      <selection activeCell="E13" sqref="E13"/>
    </sheetView>
  </sheetViews>
  <sheetFormatPr defaultRowHeight="15" x14ac:dyDescent="0.35"/>
  <cols>
    <col min="1" max="1" width="3.26953125" customWidth="1"/>
    <col min="2" max="2" width="156.6328125" customWidth="1"/>
  </cols>
  <sheetData>
    <row r="1" spans="1:2" x14ac:dyDescent="0.35">
      <c r="A1" s="2"/>
      <c r="B1" s="2"/>
    </row>
    <row r="2" spans="1:2" ht="0.15" customHeight="1" x14ac:dyDescent="0.25">
      <c r="A2" s="4"/>
      <c r="B2" s="7" t="s">
        <v>19</v>
      </c>
    </row>
    <row r="3" spans="1:2" ht="49.95" customHeight="1" x14ac:dyDescent="0.35">
      <c r="A3" s="6"/>
      <c r="B3" s="52" t="s">
        <v>102</v>
      </c>
    </row>
    <row r="4" spans="1:2" ht="49.95" customHeight="1" x14ac:dyDescent="0.35">
      <c r="A4" s="6"/>
      <c r="B4" s="57" t="s">
        <v>14</v>
      </c>
    </row>
    <row r="5" spans="1:2" ht="31.95" customHeight="1" x14ac:dyDescent="0.35">
      <c r="A5" s="6"/>
      <c r="B5" s="55" t="s">
        <v>81</v>
      </c>
    </row>
    <row r="6" spans="1:2" ht="31.95" customHeight="1" x14ac:dyDescent="0.35">
      <c r="A6" s="6"/>
      <c r="B6" s="55" t="s">
        <v>82</v>
      </c>
    </row>
    <row r="7" spans="1:2" ht="31.95" customHeight="1" x14ac:dyDescent="0.35">
      <c r="A7" s="6"/>
      <c r="B7" s="55" t="s">
        <v>83</v>
      </c>
    </row>
    <row r="8" spans="1:2" ht="31.95" customHeight="1" x14ac:dyDescent="0.35">
      <c r="A8" s="6"/>
      <c r="B8" s="55" t="s">
        <v>84</v>
      </c>
    </row>
    <row r="9" spans="1:2" ht="31.95" customHeight="1" x14ac:dyDescent="0.35">
      <c r="A9" s="6"/>
      <c r="B9" s="55" t="s">
        <v>88</v>
      </c>
    </row>
    <row r="10" spans="1:2" ht="31.95" customHeight="1" x14ac:dyDescent="0.35">
      <c r="B10" s="55" t="s">
        <v>85</v>
      </c>
    </row>
    <row r="11" spans="1:2" ht="0.15" customHeight="1" x14ac:dyDescent="0.35">
      <c r="B11" s="54"/>
    </row>
    <row r="12" spans="1:2" ht="0.15" customHeight="1" x14ac:dyDescent="0.35">
      <c r="B12" s="53"/>
    </row>
    <row r="13" spans="1:2" ht="49.95" customHeight="1" x14ac:dyDescent="0.35">
      <c r="B13" s="56" t="s">
        <v>15</v>
      </c>
    </row>
    <row r="14" spans="1:2" ht="31.95" customHeight="1" x14ac:dyDescent="0.35">
      <c r="B14" s="58" t="s">
        <v>86</v>
      </c>
    </row>
    <row r="15" spans="1:2" ht="31.95" customHeight="1" x14ac:dyDescent="0.35">
      <c r="B15" s="58" t="s">
        <v>89</v>
      </c>
    </row>
    <row r="16" spans="1:2" ht="31.95" customHeight="1" x14ac:dyDescent="0.35">
      <c r="B16" s="58" t="s">
        <v>90</v>
      </c>
    </row>
    <row r="17" spans="2:2" ht="31.95" customHeight="1" x14ac:dyDescent="0.35">
      <c r="B17" s="60" t="s">
        <v>87</v>
      </c>
    </row>
    <row r="18" spans="2:2" ht="31.95" customHeight="1" x14ac:dyDescent="0.35">
      <c r="B18" s="58" t="s">
        <v>91</v>
      </c>
    </row>
    <row r="19" spans="2:2" ht="49.95" customHeight="1" x14ac:dyDescent="0.35">
      <c r="B19" s="56" t="s">
        <v>16</v>
      </c>
    </row>
    <row r="20" spans="2:2" ht="31.95" customHeight="1" x14ac:dyDescent="0.35">
      <c r="B20" s="55" t="s">
        <v>92</v>
      </c>
    </row>
    <row r="21" spans="2:2" ht="31.95" customHeight="1" x14ac:dyDescent="0.35">
      <c r="B21" s="55" t="s">
        <v>94</v>
      </c>
    </row>
    <row r="22" spans="2:2" ht="31.95" customHeight="1" x14ac:dyDescent="0.35">
      <c r="B22" s="55" t="s">
        <v>93</v>
      </c>
    </row>
    <row r="23" spans="2:2" ht="31.95" customHeight="1" x14ac:dyDescent="0.35">
      <c r="B23" s="55" t="s">
        <v>95</v>
      </c>
    </row>
    <row r="24" spans="2:2" ht="31.95" customHeight="1" x14ac:dyDescent="0.35">
      <c r="B24" s="55" t="s">
        <v>96</v>
      </c>
    </row>
    <row r="25" spans="2:2" ht="49.95" customHeight="1" x14ac:dyDescent="0.35">
      <c r="B25" s="56" t="s">
        <v>17</v>
      </c>
    </row>
    <row r="26" spans="2:2" ht="31.95" customHeight="1" x14ac:dyDescent="0.35">
      <c r="B26" s="55" t="s">
        <v>100</v>
      </c>
    </row>
    <row r="27" spans="2:2" ht="31.95" customHeight="1" x14ac:dyDescent="0.35">
      <c r="B27" s="55" t="s">
        <v>99</v>
      </c>
    </row>
    <row r="28" spans="2:2" ht="31.95" customHeight="1" x14ac:dyDescent="0.35">
      <c r="B28" s="55" t="s">
        <v>98</v>
      </c>
    </row>
    <row r="29" spans="2:2" ht="31.95" customHeight="1" x14ac:dyDescent="0.35">
      <c r="B29" s="55" t="s">
        <v>97</v>
      </c>
    </row>
    <row r="30" spans="2:2" ht="31.95" customHeight="1" x14ac:dyDescent="0.35">
      <c r="B30" s="55" t="s">
        <v>101</v>
      </c>
    </row>
    <row r="31" spans="2:2" ht="49.95" customHeight="1" x14ac:dyDescent="0.35">
      <c r="B31" s="59" t="s">
        <v>143</v>
      </c>
    </row>
    <row r="32" spans="2:2" ht="31.95" customHeight="1" x14ac:dyDescent="0.35">
      <c r="B32" s="58" t="s">
        <v>144</v>
      </c>
    </row>
    <row r="33" spans="2:2" ht="31.95" customHeight="1" x14ac:dyDescent="0.35">
      <c r="B33" s="58" t="s">
        <v>145</v>
      </c>
    </row>
    <row r="34" spans="2:2" ht="31.95" customHeight="1" x14ac:dyDescent="0.35">
      <c r="B34" s="58" t="s">
        <v>146</v>
      </c>
    </row>
    <row r="35" spans="2:2" ht="31.95" customHeight="1" x14ac:dyDescent="0.35">
      <c r="B35" s="58" t="s">
        <v>147</v>
      </c>
    </row>
    <row r="36" spans="2:2" ht="31.95" customHeight="1" x14ac:dyDescent="0.35">
      <c r="B36" s="61"/>
    </row>
    <row r="37" spans="2:2" ht="31.95" customHeight="1" x14ac:dyDescent="0.35">
      <c r="B37" s="50"/>
    </row>
    <row r="38" spans="2:2" ht="31.95" customHeight="1" x14ac:dyDescent="0.35">
      <c r="B38" s="50"/>
    </row>
    <row r="39" spans="2:2" ht="31.95" customHeight="1" x14ac:dyDescent="0.35">
      <c r="B39" s="50"/>
    </row>
    <row r="40" spans="2:2" ht="31.95" customHeight="1" x14ac:dyDescent="0.35">
      <c r="B40" s="50"/>
    </row>
    <row r="41" spans="2:2" ht="31.95" customHeight="1" x14ac:dyDescent="0.35">
      <c r="B41" s="50"/>
    </row>
    <row r="42" spans="2:2" ht="31.95" customHeight="1" x14ac:dyDescent="0.35">
      <c r="B42" s="50"/>
    </row>
    <row r="43" spans="2:2" ht="31.95" customHeight="1" x14ac:dyDescent="0.35">
      <c r="B43" s="50"/>
    </row>
    <row r="44" spans="2:2" ht="31.95" customHeight="1" x14ac:dyDescent="0.35">
      <c r="B44" s="50"/>
    </row>
    <row r="45" spans="2:2" ht="31.95" customHeight="1" x14ac:dyDescent="0.35">
      <c r="B45" s="50"/>
    </row>
    <row r="46" spans="2:2" ht="31.95" customHeight="1" x14ac:dyDescent="0.35">
      <c r="B46" s="50"/>
    </row>
    <row r="47" spans="2:2" ht="31.95" customHeight="1" x14ac:dyDescent="0.35">
      <c r="B47" s="50"/>
    </row>
    <row r="48" spans="2:2" ht="31.95" customHeight="1" x14ac:dyDescent="0.35">
      <c r="B48" s="50"/>
    </row>
    <row r="49" spans="2:2" ht="31.95" customHeight="1" x14ac:dyDescent="0.35">
      <c r="B49" s="50"/>
    </row>
    <row r="50" spans="2:2" ht="31.95" customHeight="1" x14ac:dyDescent="0.35">
      <c r="B50" s="50"/>
    </row>
    <row r="51" spans="2:2" ht="31.95" customHeight="1" x14ac:dyDescent="0.35">
      <c r="B51" s="50"/>
    </row>
    <row r="52" spans="2:2" ht="31.95" customHeight="1" x14ac:dyDescent="0.35">
      <c r="B52" s="50"/>
    </row>
    <row r="53" spans="2:2" ht="31.95" customHeight="1" x14ac:dyDescent="0.35">
      <c r="B53" s="50"/>
    </row>
    <row r="54" spans="2:2" ht="31.95" customHeight="1" x14ac:dyDescent="0.35">
      <c r="B54" s="50"/>
    </row>
    <row r="55" spans="2:2" ht="31.95" customHeight="1" x14ac:dyDescent="0.35">
      <c r="B55" s="50"/>
    </row>
    <row r="56" spans="2:2" ht="31.95" customHeight="1" x14ac:dyDescent="0.35">
      <c r="B56" s="50"/>
    </row>
    <row r="57" spans="2:2" ht="31.95" customHeight="1" x14ac:dyDescent="0.35">
      <c r="B57" s="50"/>
    </row>
    <row r="58" spans="2:2" ht="31.95" customHeight="1" x14ac:dyDescent="0.35">
      <c r="B58" s="50"/>
    </row>
    <row r="59" spans="2:2" ht="31.95" customHeight="1" x14ac:dyDescent="0.35">
      <c r="B59" s="50"/>
    </row>
    <row r="60" spans="2:2" ht="31.95" customHeight="1" x14ac:dyDescent="0.35">
      <c r="B60" s="50"/>
    </row>
    <row r="61" spans="2:2" ht="31.95" customHeight="1" x14ac:dyDescent="0.35">
      <c r="B61" s="50"/>
    </row>
    <row r="62" spans="2:2" ht="31.95" customHeight="1" x14ac:dyDescent="0.35">
      <c r="B62" s="50"/>
    </row>
    <row r="63" spans="2:2" ht="31.95" customHeight="1" x14ac:dyDescent="0.35">
      <c r="B63" s="50"/>
    </row>
    <row r="64" spans="2:2" ht="31.95" customHeight="1" x14ac:dyDescent="0.35">
      <c r="B64" s="50"/>
    </row>
    <row r="65" spans="2:2" ht="31.95" customHeight="1" x14ac:dyDescent="0.35">
      <c r="B65" s="50"/>
    </row>
    <row r="66" spans="2:2" ht="31.95" customHeight="1" x14ac:dyDescent="0.35">
      <c r="B66" s="50"/>
    </row>
    <row r="67" spans="2:2" ht="31.95" customHeight="1" x14ac:dyDescent="0.35">
      <c r="B67" s="50"/>
    </row>
    <row r="68" spans="2:2" ht="31.95" customHeight="1" x14ac:dyDescent="0.35">
      <c r="B68" s="50"/>
    </row>
    <row r="69" spans="2:2" ht="31.95" customHeight="1" x14ac:dyDescent="0.35">
      <c r="B69" s="50"/>
    </row>
    <row r="70" spans="2:2" ht="31.95" customHeight="1" x14ac:dyDescent="0.35">
      <c r="B70" s="50"/>
    </row>
    <row r="71" spans="2:2" ht="31.95" customHeight="1" x14ac:dyDescent="0.35">
      <c r="B71" s="50"/>
    </row>
    <row r="72" spans="2:2" ht="31.95" customHeight="1" x14ac:dyDescent="0.35">
      <c r="B72" s="50"/>
    </row>
    <row r="73" spans="2:2" ht="31.95" customHeight="1" x14ac:dyDescent="0.35">
      <c r="B73" s="50"/>
    </row>
    <row r="74" spans="2:2" ht="31.95" customHeight="1" x14ac:dyDescent="0.35">
      <c r="B74" s="50"/>
    </row>
    <row r="75" spans="2:2" ht="31.95" customHeight="1" x14ac:dyDescent="0.35">
      <c r="B75" s="50"/>
    </row>
    <row r="76" spans="2:2" ht="31.95" customHeight="1" x14ac:dyDescent="0.35">
      <c r="B76" s="50"/>
    </row>
    <row r="77" spans="2:2" ht="31.95" customHeight="1" x14ac:dyDescent="0.35">
      <c r="B77" s="50"/>
    </row>
    <row r="78" spans="2:2" ht="31.95" customHeight="1" x14ac:dyDescent="0.35">
      <c r="B78" s="50"/>
    </row>
    <row r="79" spans="2:2" ht="31.95" customHeight="1" x14ac:dyDescent="0.35">
      <c r="B79" s="50"/>
    </row>
    <row r="80" spans="2:2" ht="31.95" customHeight="1" x14ac:dyDescent="0.35">
      <c r="B80" s="50"/>
    </row>
    <row r="81" spans="2:2" ht="16.2" x14ac:dyDescent="0.35">
      <c r="B81" s="50"/>
    </row>
    <row r="82" spans="2:2" ht="16.2" x14ac:dyDescent="0.35">
      <c r="B82" s="8"/>
    </row>
  </sheetData>
  <conditionalFormatting sqref="B2 B11">
    <cfRule type="expression" dxfId="3" priority="23" stopIfTrue="1">
      <formula>AND(#REF!=TODAY(),#REF!=1)</formula>
    </cfRule>
    <cfRule type="expression" dxfId="2" priority="24">
      <formula>#REF!=TODAY()</formula>
    </cfRule>
  </conditionalFormatting>
  <conditionalFormatting sqref="B11 B2">
    <cfRule type="expression" dxfId="1" priority="18" stopIfTrue="1">
      <formula>AND(#REF!&lt;&gt;1,#REF!&lt;TODAY())</formula>
    </cfRule>
  </conditionalFormatting>
  <conditionalFormatting sqref="B11">
    <cfRule type="expression" dxfId="0" priority="1" stopIfTrue="1">
      <formula>#REF!=1</formula>
    </cfRule>
  </conditionalFormatting>
  <dataValidations count="2">
    <dataValidation allowBlank="1" showInputMessage="1" showErrorMessage="1" prompt="Create To Do List in this workbook. Enter details in To Do List table in this worksheet. Select cell F3 to navigate to Setup worksheet. Due &amp; Overdue days are automatically updated" sqref="A1:B1" xr:uid="{3DEE4695-5034-4648-A650-FC354FFB3193}"/>
    <dataValidation allowBlank="1" showInputMessage="1" showErrorMessage="1" prompt="Enter Description in this column under this heading" sqref="B2" xr:uid="{57449622-4C2D-41A3-83AB-F7B23404DB95}"/>
  </dataValidations>
  <hyperlinks>
    <hyperlink ref="B5" r:id="rId1" xr:uid="{7596CB78-2135-4716-8736-8821F553D651}"/>
    <hyperlink ref="B10" r:id="rId2" xr:uid="{40055BD7-FDD5-447C-A005-4530A605E6C9}"/>
    <hyperlink ref="B8" r:id="rId3" xr:uid="{580A626E-5B48-463A-A67A-ACEBB5600602}"/>
    <hyperlink ref="B7" r:id="rId4" xr:uid="{12ED621C-D5EF-4D34-B11B-A3C74F49FCE0}"/>
    <hyperlink ref="B6" r:id="rId5" xr:uid="{EE486CC5-AF8F-4016-913E-213559594A3A}"/>
    <hyperlink ref="B14" r:id="rId6" xr:uid="{A844E6A4-A486-47BD-8777-0D6F596B3A90}"/>
    <hyperlink ref="B9" r:id="rId7" location="Blog" xr:uid="{ECE01A72-A683-416E-8B92-32353126DEED}"/>
    <hyperlink ref="B20" r:id="rId8" xr:uid="{72B856A9-7196-4B9A-B17D-2AD5003C9C9C}"/>
    <hyperlink ref="B22" r:id="rId9" xr:uid="{A5BA974A-5889-4683-9923-C3595D5D1B24}"/>
    <hyperlink ref="B23" r:id="rId10" xr:uid="{D6058A7D-1BCC-44C4-8C07-B1DDFB9E0F36}"/>
    <hyperlink ref="B21" r:id="rId11" xr:uid="{FDB14870-57FD-4973-A8E7-1C3431C135E4}"/>
    <hyperlink ref="B24" r:id="rId12" xr:uid="{47EED0FE-7136-43A7-98DE-2C65FE33BC8C}"/>
    <hyperlink ref="B28" r:id="rId13" xr:uid="{61D771A6-F48C-4E6E-8420-845A149493EC}"/>
    <hyperlink ref="B26" r:id="rId14" xr:uid="{9896D226-CA5F-4B5E-B048-6E5F2142D037}"/>
    <hyperlink ref="B30" r:id="rId15" xr:uid="{CFE8BCD9-AEA8-41EB-BB53-F8620D07C463}"/>
    <hyperlink ref="B29" r:id="rId16" xr:uid="{493CC564-633E-467B-A4C1-833FDA02054F}"/>
    <hyperlink ref="B27" r:id="rId17" xr:uid="{8C8D32A9-8995-4952-A16A-D203F8C1CC03}"/>
    <hyperlink ref="B35" r:id="rId18" xr:uid="{E5173C60-C9BB-4117-9E37-1085BBF27CC2}"/>
    <hyperlink ref="B17" r:id="rId19" xr:uid="{AF42E365-49E8-4BCA-BB67-B7B1155D97DA}"/>
  </hyperlinks>
  <pageMargins left="0.7" right="0.7" top="0.75" bottom="0.75" header="0.3" footer="0.3"/>
  <tableParts count="1">
    <tablePart r:id="rId20"/>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D85AF55-94D9-42C9-88E7-F84C0EBFF3A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755839C-B16E-41F0-A9AF-5CA75C64C247}">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customXml/itemProps3.xml><?xml version="1.0" encoding="utf-8"?>
<ds:datastoreItem xmlns:ds="http://schemas.openxmlformats.org/officeDocument/2006/customXml" ds:itemID="{0386507E-23C5-4E11-A8D0-1B4A3AF59F55}">
  <ds:schemaRefs>
    <ds:schemaRef ds:uri="http://schemas.microsoft.com/sharepoint/v3/contenttype/fo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TM22583886</Template>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Product Analysis</vt:lpstr>
      <vt:lpstr>Technology &amp; Differentiator </vt:lpstr>
      <vt:lpstr>Market Positioning &amp; Use Cases</vt:lpstr>
      <vt:lpstr>SWOT Analysis</vt:lpstr>
      <vt:lpstr>Conclusion</vt:lpstr>
      <vt:lpstr>References</vt:lpstr>
      <vt:lpstr>'Product Analysis'!Grid</vt:lpstr>
      <vt:lpstr>'Product Analysis'!Print_Titles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2023-09-09T14:41:42Z</dcterms:created>
  <dcterms:modified xsi:type="dcterms:W3CDTF">2026-02-22T17:59:52Z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